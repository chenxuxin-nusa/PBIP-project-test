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vance\Desktop\Simulation\"/>
    </mc:Choice>
  </mc:AlternateContent>
  <xr:revisionPtr revIDLastSave="0" documentId="13_ncr:1_{B2A871AF-67CA-4C0D-A81A-5966AEB4A20B}" xr6:coauthVersionLast="47" xr6:coauthVersionMax="47" xr10:uidLastSave="{00000000-0000-0000-0000-000000000000}"/>
  <bookViews>
    <workbookView xWindow="-110" yWindow="-110" windowWidth="19420" windowHeight="11500" tabRatio="970" activeTab="3" xr2:uid="{00000000-000D-0000-FFFF-FFFF00000000}"/>
  </bookViews>
  <sheets>
    <sheet name="Executive Summary" sheetId="1" r:id="rId1"/>
    <sheet name="cashflow_report" sheetId="10" r:id="rId2"/>
    <sheet name="Portfolio Performance" sheetId="2" r:id="rId3"/>
    <sheet name="Liquidity &amp; OC" sheetId="3" r:id="rId4"/>
    <sheet name="Replenishment" sheetId="4" r:id="rId5"/>
    <sheet name="Warehouse" sheetId="5" r:id="rId6"/>
    <sheet name="Risk Covenants" sheetId="6" r:id="rId7"/>
    <sheet name="Daily Metrics" sheetId="7" r:id="rId8"/>
    <sheet name="Scenario Comparison" sheetId="8" r:id="rId9"/>
    <sheet name="FV Discount Rates" sheetId="9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4" i="3" l="1"/>
  <c r="N16" i="3" s="1"/>
  <c r="N15" i="3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</calcChain>
</file>

<file path=xl/sharedStrings.xml><?xml version="1.0" encoding="utf-8"?>
<sst xmlns="http://schemas.openxmlformats.org/spreadsheetml/2006/main" count="1772" uniqueCount="469">
  <si>
    <t>ABS Lifecycle Simulation — Executive Summary</t>
  </si>
  <si>
    <t>Scenario: Baseline Historical Replay | Issuance: 1 Jul 2023 | Maturity: 30 Jun 2025 | Notional: IDR 10,000,000,000</t>
  </si>
  <si>
    <t>Equity IRR</t>
  </si>
  <si>
    <t>Class A IRR</t>
  </si>
  <si>
    <t>Class B IRR</t>
  </si>
  <si>
    <t>Min OC Ratio</t>
  </si>
  <si>
    <t>OC Breach Days</t>
  </si>
  <si>
    <t>Default Rate</t>
  </si>
  <si>
    <t>Recovery Rate</t>
  </si>
  <si>
    <t>Net Loss</t>
  </si>
  <si>
    <t>14.2%</t>
  </si>
  <si>
    <t>8.5%</t>
  </si>
  <si>
    <t>10.1%</t>
  </si>
  <si>
    <t>107.3%</t>
  </si>
  <si>
    <t>12</t>
  </si>
  <si>
    <t>6.8%</t>
  </si>
  <si>
    <t>22.4%</t>
  </si>
  <si>
    <t>IDR 527M</t>
  </si>
  <si>
    <t>Metric</t>
  </si>
  <si>
    <t>Unit</t>
  </si>
  <si>
    <t>Value</t>
  </si>
  <si>
    <t>IDR</t>
  </si>
  <si>
    <t>Total Loans Purchased</t>
  </si>
  <si>
    <t>#</t>
  </si>
  <si>
    <t>Total Collections</t>
  </si>
  <si>
    <t>Total Defaults (Count)</t>
  </si>
  <si>
    <t>Total Default Amount</t>
  </si>
  <si>
    <t>Total Recovery Amount</t>
  </si>
  <si>
    <t>Replenishment Requested</t>
  </si>
  <si>
    <t>Replenishment Fulfilled</t>
  </si>
  <si>
    <t>Replenishment Shortfall</t>
  </si>
  <si>
    <t>Replenishment Failure Count</t>
  </si>
  <si>
    <t>Max Deferred Interest (A)</t>
  </si>
  <si>
    <t>Max Deferred Interest (B)</t>
  </si>
  <si>
    <t>Legal Maturity Unpaid</t>
  </si>
  <si>
    <t>WAL Class A</t>
  </si>
  <si>
    <t>years</t>
  </si>
  <si>
    <t>WAL Class B</t>
  </si>
  <si>
    <t>Equity Multiple</t>
  </si>
  <si>
    <t>x</t>
  </si>
  <si>
    <t>Month</t>
  </si>
  <si>
    <t>Date</t>
  </si>
  <si>
    <t>Cumulative Recoveries</t>
  </si>
  <si>
    <t>OC Ratio</t>
  </si>
  <si>
    <t>OC Breach</t>
  </si>
  <si>
    <t>Target OC</t>
  </si>
  <si>
    <t>Reserve Balance</t>
  </si>
  <si>
    <t>Min Reserve</t>
  </si>
  <si>
    <t>SPV Cash Balance</t>
  </si>
  <si>
    <t>Class A Outstanding</t>
  </si>
  <si>
    <t>Class B Outstanding</t>
  </si>
  <si>
    <t>Deferred Int A</t>
  </si>
  <si>
    <t>Deferred Int B</t>
  </si>
  <si>
    <t>Partner KPI Share</t>
  </si>
  <si>
    <t>Partner FDI Share</t>
  </si>
  <si>
    <t>Partner SCB Share</t>
  </si>
  <si>
    <t>Minor shortfall</t>
  </si>
  <si>
    <t>Insufficient eligible loans</t>
  </si>
  <si>
    <t>Amortisation phase</t>
  </si>
  <si>
    <t>New Bookings (Count)</t>
  </si>
  <si>
    <t>New Bookings (Amount)</t>
  </si>
  <si>
    <t>Total Warehouse Balance</t>
  </si>
  <si>
    <t>Total Loan Count</t>
  </si>
  <si>
    <t>Eligible Balance</t>
  </si>
  <si>
    <t>Charge-off Count</t>
  </si>
  <si>
    <t>Charge-off Amount</t>
  </si>
  <si>
    <t>Cumulative Charge-offs</t>
  </si>
  <si>
    <t>ABS Risk Monitoring — Covenant Check Results</t>
  </si>
  <si>
    <t>Covenant Rule Definitions</t>
  </si>
  <si>
    <t>Rule ID</t>
  </si>
  <si>
    <t>Description</t>
  </si>
  <si>
    <t>Rule Type</t>
  </si>
  <si>
    <t>Operator</t>
  </si>
  <si>
    <t>Threshold</t>
  </si>
  <si>
    <t>Scope</t>
  </si>
  <si>
    <t>R001</t>
  </si>
  <si>
    <t>Single Partner Concentration</t>
  </si>
  <si>
    <t>SUM</t>
  </si>
  <si>
    <t>&lt;=</t>
  </si>
  <si>
    <t>partner</t>
  </si>
  <si>
    <t>R002</t>
  </si>
  <si>
    <t>Top 3 Partner Concentration</t>
  </si>
  <si>
    <t>R003</t>
  </si>
  <si>
    <t>WA Yield Floor</t>
  </si>
  <si>
    <t>WAVG</t>
  </si>
  <si>
    <t>&gt;=</t>
  </si>
  <si>
    <t>Deal-level</t>
  </si>
  <si>
    <t>R004</t>
  </si>
  <si>
    <t>Delinquency Ratio Cap</t>
  </si>
  <si>
    <t>RATIO</t>
  </si>
  <si>
    <t>R005</t>
  </si>
  <si>
    <t>Max DPD in Pool</t>
  </si>
  <si>
    <t>THRESHOLD</t>
  </si>
  <si>
    <t>R006</t>
  </si>
  <si>
    <t>OC Ratio Floor</t>
  </si>
  <si>
    <t>R007</t>
  </si>
  <si>
    <t>Default Rate Cap</t>
  </si>
  <si>
    <t>R008</t>
  </si>
  <si>
    <t>Min Reserve Coverage</t>
  </si>
  <si>
    <t>Monthly Covenant Status (Heat Map)</t>
  </si>
  <si>
    <t>Covenant Rule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</si>
  <si>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</si>
  <si>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</si>
  <si>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</si>
  <si>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</si>
  <si>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</si>
  <si>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</si>
  <si>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</si>
  <si>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</si>
  <si>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</si>
  <si>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</si>
  <si>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</si>
  <si>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</si>
  <si>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</si>
  <si>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</si>
  <si>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</si>
  <si>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</si>
  <si>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</si>
  <si>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</si>
  <si>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</si>
  <si>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</si>
  <si>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</si>
  <si>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</si>
  <si>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</si>
  <si>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Total Breaches</t>
  </si>
  <si>
    <t>Daily Metrics — Simulation Output (Weekly Samples)</t>
  </si>
  <si>
    <t>OC &amp; Liquidity</t>
  </si>
  <si>
    <t>Daily Flows</t>
  </si>
  <si>
    <t>DPD Buckets</t>
  </si>
  <si>
    <t>Warehouse</t>
  </si>
  <si>
    <t>Scenario Comparison — Side by Side</t>
  </si>
  <si>
    <t>Baseline (2 Partners)</t>
  </si>
  <si>
    <t>Multi-Partner (4 Partners)</t>
  </si>
  <si>
    <t>Partner Removal (Mid-Life)</t>
  </si>
  <si>
    <t>High Stress Portfolio</t>
  </si>
  <si>
    <t>Conservative Replenishment</t>
  </si>
  <si>
    <t>Deal Structure</t>
  </si>
  <si>
    <t>Notional</t>
  </si>
  <si>
    <t>IDR 10B</t>
  </si>
  <si>
    <t>Issuance Date</t>
  </si>
  <si>
    <t>1 Jul 2023</t>
  </si>
  <si>
    <t>1 Jul 2024</t>
  </si>
  <si>
    <t>Tenor</t>
  </si>
  <si>
    <t>2 years</t>
  </si>
  <si>
    <t>1 year</t>
  </si>
  <si>
    <t>Partners</t>
  </si>
  <si>
    <t>2</t>
  </si>
  <si>
    <t>4</t>
  </si>
  <si>
    <t>4 → 3</t>
  </si>
  <si>
    <t>Performance Metrics</t>
  </si>
  <si>
    <t>12.8%</t>
  </si>
  <si>
    <t>11.3%</t>
  </si>
  <si>
    <t>13.1%</t>
  </si>
  <si>
    <t>8.4%</t>
  </si>
  <si>
    <t>7.9%</t>
  </si>
  <si>
    <t>9.8%</t>
  </si>
  <si>
    <t>9.2%</t>
  </si>
  <si>
    <t>7.2%</t>
  </si>
  <si>
    <t>9.6%</t>
  </si>
  <si>
    <t>1.31x</t>
  </si>
  <si>
    <t>1.14x</t>
  </si>
  <si>
    <t>1.12x</t>
  </si>
  <si>
    <t>1.09x</t>
  </si>
  <si>
    <t>1.28x</t>
  </si>
  <si>
    <t>1.42y</t>
  </si>
  <si>
    <t>0.68y</t>
  </si>
  <si>
    <t>0.71y</t>
  </si>
  <si>
    <t>0.75y</t>
  </si>
  <si>
    <t>1.38y</t>
  </si>
  <si>
    <t>1.68y</t>
  </si>
  <si>
    <t>0.82y</t>
  </si>
  <si>
    <t>0.84y</t>
  </si>
  <si>
    <t>0.88y</t>
  </si>
  <si>
    <t>1.62y</t>
  </si>
  <si>
    <t>Credit Performance</t>
  </si>
  <si>
    <t>8.1%</t>
  </si>
  <si>
    <t>12.4%</t>
  </si>
  <si>
    <t>5.9%</t>
  </si>
  <si>
    <t>20.1%</t>
  </si>
  <si>
    <t>18.5%</t>
  </si>
  <si>
    <t>15.2%</t>
  </si>
  <si>
    <t>24.8%</t>
  </si>
  <si>
    <t>IDR 571M</t>
  </si>
  <si>
    <t>IDR 660M</t>
  </si>
  <si>
    <t>IDR 1.05B</t>
  </si>
  <si>
    <t>IDR 443M</t>
  </si>
  <si>
    <t>Liquidity &amp; Structure</t>
  </si>
  <si>
    <t>108.1%</t>
  </si>
  <si>
    <t>104.5%</t>
  </si>
  <si>
    <t>98.2%</t>
  </si>
  <si>
    <t>109.8%</t>
  </si>
  <si>
    <t>8</t>
  </si>
  <si>
    <t>18</t>
  </si>
  <si>
    <t>45</t>
  </si>
  <si>
    <t>Max Deferred Int (A)</t>
  </si>
  <si>
    <t>IDR 45M</t>
  </si>
  <si>
    <t>IDR 32M</t>
  </si>
  <si>
    <t>IDR 58M</t>
  </si>
  <si>
    <t>IDR 120M</t>
  </si>
  <si>
    <t>IDR 22M</t>
  </si>
  <si>
    <t>Max Deferred Int (B)</t>
  </si>
  <si>
    <t>IDR 28M</t>
  </si>
  <si>
    <t>IDR 18M</t>
  </si>
  <si>
    <t>IDR 42M</t>
  </si>
  <si>
    <t>IDR 85M</t>
  </si>
  <si>
    <t>IDR 12M</t>
  </si>
  <si>
    <t>IDR 0</t>
  </si>
  <si>
    <t>IDR 180M</t>
  </si>
  <si>
    <t>Reserve Peak</t>
  </si>
  <si>
    <t>IDR 300M</t>
  </si>
  <si>
    <t>IDR 280M</t>
  </si>
  <si>
    <t>IDR 250M</t>
  </si>
  <si>
    <t>IDR 200M</t>
  </si>
  <si>
    <t>Replenishment</t>
  </si>
  <si>
    <t>Total Requested</t>
  </si>
  <si>
    <t>IDR 7.2B</t>
  </si>
  <si>
    <t>IDR 3.5B</t>
  </si>
  <si>
    <t>IDR 3.8B</t>
  </si>
  <si>
    <t>IDR 6.8B</t>
  </si>
  <si>
    <t>Total Fulfilled</t>
  </si>
  <si>
    <t>IDR 6.84B</t>
  </si>
  <si>
    <t>IDR 3.2B</t>
  </si>
  <si>
    <t>IDR 2.9B</t>
  </si>
  <si>
    <t>IDR 2.8B</t>
  </si>
  <si>
    <t>IDR 6.6B</t>
  </si>
  <si>
    <t>Total Shortfall</t>
  </si>
  <si>
    <t>IDR 360M</t>
  </si>
  <si>
    <t>IDR 600M</t>
  </si>
  <si>
    <t>IDR 1.0B</t>
  </si>
  <si>
    <t>Failure Count</t>
  </si>
  <si>
    <t>3</t>
  </si>
  <si>
    <t>7</t>
  </si>
  <si>
    <t>Expected Loss Rate</t>
  </si>
  <si>
    <t>Discount Rate</t>
  </si>
  <si>
    <t>Loans in Bucket</t>
  </si>
  <si>
    <t>Outstanding Balance</t>
  </si>
  <si>
    <t>KPI_CASHLOAN</t>
  </si>
  <si>
    <t>3M</t>
  </si>
  <si>
    <t>0-30</t>
  </si>
  <si>
    <t>31-60</t>
  </si>
  <si>
    <t>61-90</t>
  </si>
  <si>
    <t>90+</t>
  </si>
  <si>
    <t>6M</t>
  </si>
  <si>
    <t>12M</t>
  </si>
  <si>
    <t>KPI_BNPL</t>
  </si>
  <si>
    <t>FDI_CASHLOAN</t>
  </si>
  <si>
    <t>SCB_CASHLOAN</t>
  </si>
  <si>
    <t>simulation_output_summary</t>
  </si>
  <si>
    <t>realized_default_rate</t>
  </si>
  <si>
    <t>realized_recovery_rate</t>
  </si>
  <si>
    <t>net_loss</t>
  </si>
  <si>
    <r>
      <rPr>
        <b/>
        <sz val="11"/>
        <color rgb="FFFF0000"/>
        <rFont val="宋体"/>
        <family val="2"/>
        <charset val="134"/>
      </rPr>
      <t>所有数据来自</t>
    </r>
    <r>
      <rPr>
        <b/>
        <sz val="11"/>
        <color rgb="FFFF0000"/>
        <rFont val="Calibri"/>
        <family val="2"/>
        <charset val="1"/>
      </rPr>
      <t>simulation_output_summary</t>
    </r>
    <phoneticPr fontId="14" type="noConversion"/>
  </si>
  <si>
    <r>
      <t>simulation_output_metric</t>
    </r>
    <r>
      <rPr>
        <sz val="11"/>
        <color theme="1"/>
        <rFont val="宋体"/>
        <family val="2"/>
        <charset val="134"/>
      </rPr>
      <t>表的衍生指标</t>
    </r>
    <phoneticPr fontId="14" type="noConversion"/>
  </si>
  <si>
    <r>
      <rPr>
        <b/>
        <sz val="11"/>
        <color theme="1"/>
        <rFont val="宋体"/>
        <family val="2"/>
        <charset val="134"/>
      </rPr>
      <t>来自</t>
    </r>
    <r>
      <rPr>
        <b/>
        <sz val="11"/>
        <color theme="1"/>
        <rFont val="Calibri"/>
        <family val="2"/>
        <charset val="1"/>
      </rPr>
      <t>simulation_output_metric</t>
    </r>
    <r>
      <rPr>
        <b/>
        <sz val="11"/>
        <color theme="1"/>
        <rFont val="宋体"/>
        <family val="2"/>
        <charset val="134"/>
      </rPr>
      <t>表</t>
    </r>
    <phoneticPr fontId="14" type="noConversion"/>
  </si>
  <si>
    <r>
      <rPr>
        <b/>
        <sz val="11"/>
        <color rgb="FFFF0000"/>
        <rFont val="宋体"/>
        <family val="2"/>
        <charset val="134"/>
      </rPr>
      <t>所有数据来自</t>
    </r>
    <r>
      <rPr>
        <b/>
        <sz val="11"/>
        <color rgb="FFFF0000"/>
        <rFont val="Calibri"/>
        <family val="2"/>
        <charset val="1"/>
      </rPr>
      <t xml:space="preserve">simulation_output_metric </t>
    </r>
    <phoneticPr fontId="14" type="noConversion"/>
  </si>
  <si>
    <r>
      <rPr>
        <b/>
        <sz val="11"/>
        <color rgb="FFFF0000"/>
        <rFont val="宋体"/>
        <family val="2"/>
        <charset val="134"/>
      </rPr>
      <t>所有数据来自</t>
    </r>
    <r>
      <rPr>
        <b/>
        <sz val="11"/>
        <color rgb="FFFF0000"/>
        <rFont val="Calibri"/>
        <family val="2"/>
        <charset val="1"/>
      </rPr>
      <t xml:space="preserve">simulation_output_metric </t>
    </r>
    <r>
      <rPr>
        <b/>
        <sz val="11"/>
        <color rgb="FFFF0000"/>
        <rFont val="等线"/>
        <family val="2"/>
        <charset val="134"/>
      </rPr>
      <t>（</t>
    </r>
    <r>
      <rPr>
        <b/>
        <sz val="11"/>
        <color rgb="FFFF0000"/>
        <rFont val="Calibri"/>
        <family val="2"/>
        <charset val="134"/>
      </rPr>
      <t>Target OC Ratio</t>
    </r>
    <r>
      <rPr>
        <b/>
        <sz val="11"/>
        <color rgb="FFFF0000"/>
        <rFont val="等线"/>
        <family val="2"/>
        <charset val="134"/>
      </rPr>
      <t>来自</t>
    </r>
    <r>
      <rPr>
        <b/>
        <sz val="11"/>
        <color rgb="FFFF0000"/>
        <rFont val="Calibri"/>
        <family val="2"/>
        <charset val="134"/>
      </rPr>
      <t>abs_main.target_oc_ratio</t>
    </r>
    <r>
      <rPr>
        <b/>
        <sz val="11"/>
        <color rgb="FFFF0000"/>
        <rFont val="等线"/>
        <family val="2"/>
        <charset val="134"/>
      </rPr>
      <t>，</t>
    </r>
    <r>
      <rPr>
        <b/>
        <sz val="11"/>
        <color rgb="FFFF0000"/>
        <rFont val="Calibri"/>
        <family val="2"/>
        <charset val="134"/>
      </rPr>
      <t>abs_main.min_reserve_amount</t>
    </r>
    <r>
      <rPr>
        <b/>
        <sz val="11"/>
        <color rgb="FFFF0000"/>
        <rFont val="等线"/>
        <family val="2"/>
        <charset val="134"/>
      </rPr>
      <t>）</t>
    </r>
    <phoneticPr fontId="14" type="noConversion"/>
  </si>
  <si>
    <t>Shortfall Reason</t>
    <phoneticPr fontId="14" type="noConversion"/>
  </si>
  <si>
    <t>Concentration</t>
    <phoneticPr fontId="14" type="noConversion"/>
  </si>
  <si>
    <t>DPD Bucket</t>
    <phoneticPr fontId="14" type="noConversion"/>
  </si>
  <si>
    <t>Source: simulation_output_metric | 730 days sampled weekly | Baseline Historical Replay</t>
    <phoneticPr fontId="14" type="noConversion"/>
  </si>
  <si>
    <t>simulation_output_summary</t>
    <phoneticPr fontId="14" type="noConversion"/>
  </si>
  <si>
    <t>Source: simulation_output_covenant_check | Each rule evaluated daily, end-of-month values shown</t>
    <phoneticPr fontId="14" type="noConversion"/>
  </si>
  <si>
    <t xml:space="preserve">Source: simulation_output_metric </t>
    <phoneticPr fontId="14" type="noConversion"/>
  </si>
  <si>
    <t>Column</t>
  </si>
  <si>
    <t>Type</t>
  </si>
  <si>
    <t>id</t>
  </si>
  <si>
    <t>VARCHAR(36)</t>
  </si>
  <si>
    <t>PK</t>
  </si>
  <si>
    <t>simulated_abs_id</t>
  </si>
  <si>
    <t>total_loans_purchased</t>
  </si>
  <si>
    <t>INT</t>
  </si>
  <si>
    <t>Count of loans purchased</t>
  </si>
  <si>
    <t>total_notional_purchased</t>
  </si>
  <si>
    <t>DECIMAL(18,4)</t>
  </si>
  <si>
    <t>Total principal purchased</t>
  </si>
  <si>
    <t>total_collections</t>
  </si>
  <si>
    <t>Lifetime collections</t>
  </si>
  <si>
    <t>total_defaults</t>
  </si>
  <si>
    <t>Count of charged-off loans</t>
  </si>
  <si>
    <t>total_default_amount</t>
  </si>
  <si>
    <t>Total charged-off principal</t>
  </si>
  <si>
    <t>total_recovery_amount</t>
  </si>
  <si>
    <t>Total recoveries</t>
  </si>
  <si>
    <t>Defaults minus recoveries</t>
  </si>
  <si>
    <t>DECIMAL(10,5)</t>
  </si>
  <si>
    <t>Default amount / purchased notional</t>
  </si>
  <si>
    <t>Recovery / default amount</t>
  </si>
  <si>
    <t>oc_breach_count</t>
  </si>
  <si>
    <t>Number of days with OC breach</t>
  </si>
  <si>
    <t>min_oc_ratio</t>
  </si>
  <si>
    <t>Lowest OC ratio observed</t>
  </si>
  <si>
    <t>first_oc_breach_date</t>
  </si>
  <si>
    <t>DATE</t>
  </si>
  <si>
    <t>Date of first OC breach (NULL if none)</t>
  </si>
  <si>
    <t>total_replenishment_requested</t>
  </si>
  <si>
    <t>Cumulative replenishment demand</t>
  </si>
  <si>
    <t>total_replenishment_fulfilled</t>
  </si>
  <si>
    <t>Cumulative fulfilled</t>
  </si>
  <si>
    <t>total_replenishment_shortfall</t>
  </si>
  <si>
    <t>Cumulative shortfall</t>
  </si>
  <si>
    <t>replenishment_failure_count</t>
  </si>
  <si>
    <t>Number of days replenishment was requested but not fully met</t>
  </si>
  <si>
    <t>max_deferred_interest_a</t>
  </si>
  <si>
    <t>Peak deferred Class A interest</t>
  </si>
  <si>
    <t>max_deferred_interest_b</t>
  </si>
  <si>
    <t>Peak deferred Class B interest</t>
  </si>
  <si>
    <t>legal_maturity_unpaid</t>
  </si>
  <si>
    <t>Total unpaid tranche balance at maturity</t>
  </si>
  <si>
    <t>class_a_irr</t>
  </si>
  <si>
    <t>Realized Class A IRR</t>
  </si>
  <si>
    <t>class_b_irr</t>
  </si>
  <si>
    <t>Realized Class B IRR</t>
  </si>
  <si>
    <t>equity_irr</t>
  </si>
  <si>
    <t>Realized equity IRR</t>
  </si>
  <si>
    <t>equity_multiple</t>
  </si>
  <si>
    <t>Equity cash-on-cash multiple</t>
  </si>
  <si>
    <t>wal_a</t>
  </si>
  <si>
    <t>Weighted average life — Class A (years)</t>
  </si>
  <si>
    <t>wal_b</t>
  </si>
  <si>
    <t>Weighted average life — Class B (years)</t>
  </si>
  <si>
    <t>simulation_output_summary.equity_irr</t>
    <phoneticPr fontId="14" type="noConversion"/>
  </si>
  <si>
    <t>simulation_output_summary.class_a_irr</t>
  </si>
  <si>
    <t>simulation_output_summary.class_b_irr</t>
  </si>
  <si>
    <t>imulation_output_summary.min_oc_ratio</t>
  </si>
  <si>
    <t>simulation_output_summary.oc_breach_count</t>
  </si>
  <si>
    <t>simulation_output_summary.realized_default_rate</t>
  </si>
  <si>
    <t>simulation_output_summary.realized_recovery_rate</t>
  </si>
  <si>
    <t>simulation_output_summary.net_loss</t>
  </si>
  <si>
    <t>abs_main.notional</t>
    <phoneticPr fontId="14" type="noConversion"/>
  </si>
  <si>
    <t>simulation_output_summary.total_loans_purchased</t>
    <phoneticPr fontId="14" type="noConversion"/>
  </si>
  <si>
    <t>simulation_output_summary.total_defaults</t>
  </si>
  <si>
    <t>simulation_output_summary.total_default_amount</t>
  </si>
  <si>
    <t>simulation_output_summary.total_recovery_amount</t>
  </si>
  <si>
    <t>simulation_output_summary.total_replenishment_requested</t>
  </si>
  <si>
    <t>simulation_output_summary.total_replenishment_fulfilled</t>
  </si>
  <si>
    <t>simulation_output_summary.total_replenishment_shortfall</t>
  </si>
  <si>
    <t>simulation_output_summary.replenishment_failure_count</t>
  </si>
  <si>
    <t>simulation_output_summary.max_deferred_interest_a</t>
  </si>
  <si>
    <t>simulation_output_summary.max_deferred_interest_b</t>
  </si>
  <si>
    <t>simulation_output_summary.legal_maturity_unpaid</t>
  </si>
  <si>
    <t>simulation_output_summary.wal_a</t>
  </si>
  <si>
    <t>simulation_output_summary.wal_b</t>
  </si>
  <si>
    <t>simulation_output_summary.equity_multiple</t>
  </si>
  <si>
    <r>
      <t xml:space="preserve">FK to </t>
    </r>
    <r>
      <rPr>
        <b/>
        <sz val="7"/>
        <color rgb="FFFF0000"/>
        <rFont val="Courier New"/>
        <family val="3"/>
      </rPr>
      <t>simulated_abs</t>
    </r>
  </si>
  <si>
    <t>切片器</t>
    <phoneticPr fontId="14" type="noConversion"/>
  </si>
  <si>
    <t>和simulation_output_summary.total_notional_purchased 是否是一个东西</t>
    <phoneticPr fontId="14" type="noConversion"/>
  </si>
  <si>
    <r>
      <rPr>
        <b/>
        <sz val="9"/>
        <color rgb="FFFF0000"/>
        <rFont val="Courier New"/>
        <family val="3"/>
      </rPr>
      <t>simulation_output_summary</t>
    </r>
    <r>
      <rPr>
        <b/>
        <sz val="9"/>
        <color rgb="FFFF0000"/>
        <rFont val="Segoe UI"/>
        <family val="2"/>
      </rPr>
      <t>:</t>
    </r>
    <phoneticPr fontId="14" type="noConversion"/>
  </si>
  <si>
    <t>是否是个汇总值</t>
    <phoneticPr fontId="14" type="noConversion"/>
  </si>
  <si>
    <r>
      <t>execution_mode</t>
    </r>
    <r>
      <rPr>
        <b/>
        <sz val="11"/>
        <color rgb="FFFF0000"/>
        <rFont val="宋体"/>
        <family val="2"/>
        <charset val="134"/>
      </rPr>
      <t>切片器现在是否要做</t>
    </r>
    <r>
      <rPr>
        <b/>
        <sz val="11"/>
        <color rgb="FFFF0000"/>
        <rFont val="等线"/>
        <family val="2"/>
        <charset val="134"/>
      </rPr>
      <t>（历史和快速模式产出</t>
    </r>
    <r>
      <rPr>
        <b/>
        <sz val="11"/>
        <color rgb="FFFF0000"/>
        <rFont val="Calibri"/>
        <family val="2"/>
        <charset val="1"/>
      </rPr>
      <t>powerbi</t>
    </r>
    <r>
      <rPr>
        <b/>
        <sz val="11"/>
        <color rgb="FFFF0000"/>
        <rFont val="等线"/>
        <family val="2"/>
        <charset val="134"/>
      </rPr>
      <t>界面是否一样）</t>
    </r>
    <phoneticPr fontId="14" type="noConversion"/>
  </si>
  <si>
    <r>
      <rPr>
        <b/>
        <sz val="11"/>
        <color rgb="FFFF0000"/>
        <rFont val="宋体"/>
        <family val="2"/>
        <charset val="134"/>
      </rPr>
      <t>按照已有的</t>
    </r>
    <r>
      <rPr>
        <b/>
        <sz val="11"/>
        <color rgb="FFFF0000"/>
        <rFont val="Calibri"/>
        <family val="2"/>
      </rPr>
      <t>act+pro cashflow</t>
    </r>
    <r>
      <rPr>
        <b/>
        <sz val="11"/>
        <color rgb="FFFF0000"/>
        <rFont val="宋体"/>
        <family val="2"/>
        <charset val="134"/>
      </rPr>
      <t>逻辑 ？</t>
    </r>
    <phoneticPr fontId="14" type="noConversion"/>
  </si>
  <si>
    <t>metric_name = 'DEFAULT_RATE', metric_scope IS NULL</t>
    <phoneticPr fontId="14" type="noConversion"/>
  </si>
  <si>
    <t>metric_name = 'RECOVERY_RATE', metric_scope IS NULL</t>
    <phoneticPr fontId="14" type="noConversion"/>
  </si>
  <si>
    <t>metric_name = 'DELINQUENCY_RATIO', metric_scope IS NULL</t>
    <phoneticPr fontId="14" type="noConversion"/>
  </si>
  <si>
    <t>metric_name = 'DPD_BUCKET_1_30'</t>
    <phoneticPr fontId="14" type="noConversion"/>
  </si>
  <si>
    <t>metric_name = 'DPD_BUCKET_31_60'</t>
    <phoneticPr fontId="14" type="noConversion"/>
  </si>
  <si>
    <t>metric_name = 'DPD_BUCKET_61_90'</t>
    <phoneticPr fontId="14" type="noConversion"/>
  </si>
  <si>
    <t>metric_name = 'DPD_BUCKET_90_PLUS'</t>
    <phoneticPr fontId="14" type="noConversion"/>
  </si>
  <si>
    <r>
      <rPr>
        <i/>
        <sz val="9"/>
        <color theme="1"/>
        <rFont val="宋体"/>
        <family val="2"/>
        <charset val="134"/>
      </rPr>
      <t>需要</t>
    </r>
    <r>
      <rPr>
        <i/>
        <sz val="9"/>
        <color theme="1"/>
        <rFont val="Calibri"/>
        <family val="2"/>
      </rPr>
      <t>powerbi</t>
    </r>
    <r>
      <rPr>
        <i/>
        <sz val="9"/>
        <color theme="1"/>
        <rFont val="宋体"/>
        <family val="2"/>
        <charset val="134"/>
      </rPr>
      <t>里计算</t>
    </r>
    <phoneticPr fontId="14" type="noConversion"/>
  </si>
  <si>
    <r>
      <t>simulation_output_metric</t>
    </r>
    <r>
      <rPr>
        <sz val="11"/>
        <color rgb="FFFF0000"/>
        <rFont val="宋体"/>
        <family val="3"/>
        <charset val="134"/>
      </rPr>
      <t>表</t>
    </r>
    <r>
      <rPr>
        <sz val="11"/>
        <color rgb="FFFF0000"/>
        <rFont val="等线"/>
        <family val="2"/>
        <charset val="134"/>
      </rPr>
      <t>，每天更新，取每月最后一天的值</t>
    </r>
    <phoneticPr fontId="14" type="noConversion"/>
  </si>
  <si>
    <t>abs_main.target_oc_ratio (static)</t>
    <phoneticPr fontId="14" type="noConversion"/>
  </si>
  <si>
    <t>metric_name = 'OC_BREACH', metric_scope IS NULL</t>
    <phoneticPr fontId="14" type="noConversion"/>
  </si>
  <si>
    <r>
      <t>metric_name = 'OC_RATIO'</t>
    </r>
    <r>
      <rPr>
        <i/>
        <sz val="9"/>
        <color theme="1"/>
        <rFont val="等线"/>
        <family val="2"/>
        <charset val="134"/>
      </rPr>
      <t>，</t>
    </r>
    <r>
      <rPr>
        <i/>
        <sz val="9"/>
        <color theme="1"/>
        <rFont val="Calibri"/>
        <family val="2"/>
        <charset val="1"/>
      </rPr>
      <t>metric_scope IS NULL</t>
    </r>
    <phoneticPr fontId="14" type="noConversion"/>
  </si>
  <si>
    <t>metric_name = 'RESERVE_BALANCE', metric_scope IS NULL</t>
    <phoneticPr fontId="14" type="noConversion"/>
  </si>
  <si>
    <t>abs_main.min_reserve_amount (static)</t>
    <phoneticPr fontId="14" type="noConversion"/>
  </si>
  <si>
    <t>metric_name = 'SPV_CASH_BALANCE', metric_scope IS NULL</t>
    <phoneticPr fontId="14" type="noConversion"/>
  </si>
  <si>
    <t>metric_name = 'TRANCHE_OUTSTANDING', metric_scope = 'tranche:CLASS_A'</t>
    <phoneticPr fontId="14" type="noConversion"/>
  </si>
  <si>
    <t>metric_name = 'TRANCHE_OUTSTANDING', metric_scope = 'tranche:CLASS_B'</t>
    <phoneticPr fontId="14" type="noConversion"/>
  </si>
  <si>
    <t>metric_name = 'DEFERRED_INTEREST', metric_scope = 'tranche:CLASS_A'</t>
    <phoneticPr fontId="14" type="noConversion"/>
  </si>
  <si>
    <t>metric_name = 'DEFERRED_INTEREST', metric_scope = 'tranche:CLASS_B'</t>
    <phoneticPr fontId="14" type="noConversion"/>
  </si>
  <si>
    <r>
      <t>metric_scope</t>
    </r>
    <r>
      <rPr>
        <b/>
        <sz val="9"/>
        <color rgb="FFFF0000"/>
        <rFont val="宋体"/>
        <family val="3"/>
        <charset val="134"/>
      </rPr>
      <t>需要看一下枚举值</t>
    </r>
    <phoneticPr fontId="14" type="noConversion"/>
  </si>
  <si>
    <t>OC Ratio</t>
    <phoneticPr fontId="14" type="noConversion"/>
  </si>
  <si>
    <r>
      <t>metric_name = 'REPLENISHMENT_REQUESTED'</t>
    </r>
    <r>
      <rPr>
        <i/>
        <sz val="9"/>
        <color theme="1"/>
        <rFont val="宋体"/>
        <family val="2"/>
        <charset val="134"/>
      </rPr>
      <t>，</t>
    </r>
    <r>
      <rPr>
        <i/>
        <sz val="9"/>
        <color theme="1"/>
        <rFont val="Calibri"/>
        <family val="2"/>
        <charset val="1"/>
      </rPr>
      <t>metric_scope IS NULL</t>
    </r>
    <phoneticPr fontId="14" type="noConversion"/>
  </si>
  <si>
    <r>
      <t>metric_name = 'REPLENISHMENT_FULFILLED'</t>
    </r>
    <r>
      <rPr>
        <i/>
        <sz val="9"/>
        <color theme="1"/>
        <rFont val="宋体"/>
        <family val="2"/>
        <charset val="134"/>
      </rPr>
      <t>，</t>
    </r>
    <r>
      <rPr>
        <i/>
        <sz val="9"/>
        <color theme="1"/>
        <rFont val="Calibri"/>
        <family val="2"/>
        <charset val="1"/>
      </rPr>
      <t>metric_scope IS NULL</t>
    </r>
    <phoneticPr fontId="14" type="noConversion"/>
  </si>
  <si>
    <r>
      <t>metric_name = 'REPLENISHMENT_SHORTFALL'</t>
    </r>
    <r>
      <rPr>
        <i/>
        <sz val="9"/>
        <color theme="1"/>
        <rFont val="宋体"/>
        <family val="2"/>
        <charset val="134"/>
      </rPr>
      <t>，</t>
    </r>
    <r>
      <rPr>
        <i/>
        <sz val="9"/>
        <color theme="1"/>
        <rFont val="Calibri"/>
        <family val="2"/>
        <charset val="1"/>
      </rPr>
      <t>metric_scope IS NULL</t>
    </r>
    <phoneticPr fontId="14" type="noConversion"/>
  </si>
  <si>
    <t>Fulfilled / Requested per month. Handle division by zero: display N/A if Requested = 0</t>
    <phoneticPr fontId="14" type="noConversion"/>
  </si>
  <si>
    <t>metric_name = 'PARTNER_CONCENTRATION', metric_scope = 'partner:{partner_id}'</t>
    <phoneticPr fontId="14" type="noConversion"/>
  </si>
  <si>
    <t>In Historical Record Generation mode, additional detail is available from sim_replenishment_request (or equivalent working data table):</t>
    <phoneticPr fontId="14" type="noConversion"/>
  </si>
  <si>
    <t>???????????</t>
    <phoneticPr fontId="14" type="noConversion"/>
  </si>
  <si>
    <t>metric_name = 'WAREHOUSE_NEW_BOOKINGS'</t>
    <phoneticPr fontId="14" type="noConversion"/>
  </si>
  <si>
    <t>metric_name = 'WAREHOUSE_NEW_BOOKINGS_AMOUNT'</t>
    <phoneticPr fontId="14" type="noConversion"/>
  </si>
  <si>
    <t>metric_name = 'WAREHOUSE_BALANCE'</t>
    <phoneticPr fontId="14" type="noConversion"/>
  </si>
  <si>
    <t>metric_name = 'WAREHOUSE_LOAN_COUNT'</t>
    <phoneticPr fontId="14" type="noConversion"/>
  </si>
  <si>
    <t>metric_name = 'WAREHOUSE_ELIGIBLE_BALANCE'</t>
    <phoneticPr fontId="14" type="noConversion"/>
  </si>
  <si>
    <t>metric_name = 'WAREHOUSE_CHARGEOFF_COUNT'</t>
    <phoneticPr fontId="14" type="noConversion"/>
  </si>
  <si>
    <t>metric_name = 'WAREHOUSE_CHARGEOFF_AMOUNT'</t>
    <phoneticPr fontId="14" type="noConversion"/>
  </si>
  <si>
    <t>Running sum of monthly Charge-off Amount from month 1</t>
    <phoneticPr fontId="14" type="noConversion"/>
  </si>
  <si>
    <t>simulation_output_covenant_check.rule_description</t>
    <phoneticPr fontId="14" type="noConversion"/>
  </si>
  <si>
    <t>simulation_output_covenant_check.rule_type</t>
    <phoneticPr fontId="14" type="noConversion"/>
  </si>
  <si>
    <t>simulation_output_covenant_check.operator</t>
    <phoneticPr fontId="14" type="noConversion"/>
  </si>
  <si>
    <t>simulation_output_covenant_check.threshold_value</t>
    <phoneticPr fontId="14" type="noConversion"/>
  </si>
  <si>
    <t>simulation_output_covenant_check.metric_scope</t>
    <phoneticPr fontId="14" type="noConversion"/>
  </si>
  <si>
    <r>
      <rPr>
        <b/>
        <i/>
        <sz val="8"/>
        <color rgb="FFFF0000"/>
        <rFont val="宋体"/>
        <family val="2"/>
        <charset val="134"/>
      </rPr>
      <t>对每条契约规则、每个月：取</t>
    </r>
    <r>
      <rPr>
        <b/>
        <i/>
        <sz val="8"/>
        <color rgb="FFFF0000"/>
        <rFont val="Arial"/>
        <family val="2"/>
      </rPr>
      <t xml:space="preserve"> simulation_output_covenant_check </t>
    </r>
    <r>
      <rPr>
        <b/>
        <i/>
        <sz val="8"/>
        <color rgb="FFFF0000"/>
        <rFont val="宋体"/>
        <family val="2"/>
        <charset val="134"/>
      </rPr>
      <t>中月末最后一天的值。所有值均已预计算——报表层无需比较逻辑。</t>
    </r>
    <phoneticPr fontId="14" type="noConversion"/>
  </si>
  <si>
    <t xml:space="preserve">	
metric_name = 'PORTFOLIO_PERFORMING_BALANCE'</t>
    <phoneticPr fontId="14" type="noConversion"/>
  </si>
  <si>
    <t>metric_name = 'PORTFOLIO_TOTAL_OUTSTANDING'</t>
    <phoneticPr fontId="14" type="noConversion"/>
  </si>
  <si>
    <t>metric_name = 'DEFAULT_RATE' WHERE metric_scope IS NULL</t>
    <phoneticPr fontId="14" type="noConversion"/>
  </si>
  <si>
    <t>metric_name = 'RECOVERY_RATE' WHERE metric_scope IS NULL</t>
    <phoneticPr fontId="14" type="noConversion"/>
  </si>
  <si>
    <t>metric_name = 'DELINQUENCY_RATIO'</t>
    <phoneticPr fontId="14" type="noConversion"/>
  </si>
  <si>
    <t>metric_name = 'OC_RATIO'</t>
    <phoneticPr fontId="14" type="noConversion"/>
  </si>
  <si>
    <t>metric_name = 'RESERVE_BALANCE'</t>
    <phoneticPr fontId="14" type="noConversion"/>
  </si>
  <si>
    <t>metric_name = 'SPV_CASH_BALANCE'</t>
    <phoneticPr fontId="14" type="noConversion"/>
  </si>
  <si>
    <t>metric_name = 'DAILY_COLLECTIONS'</t>
    <phoneticPr fontId="14" type="noConversion"/>
  </si>
  <si>
    <t>metric_name = 'DAILY_CASH_OUT'</t>
    <phoneticPr fontId="14" type="noConversion"/>
  </si>
  <si>
    <t>metric_name = 'DPD_BUCKET_CURRENT'</t>
    <phoneticPr fontId="14" type="noConversion"/>
  </si>
  <si>
    <t xml:space="preserve">	
metric_name = 'DPD_BUCKET_1_30'</t>
    <phoneticPr fontId="14" type="noConversion"/>
  </si>
  <si>
    <t xml:space="preserve">	
metric_name = 'DPD_BUCKET_90_PLUS'</t>
    <phoneticPr fontId="14" type="noConversion"/>
  </si>
  <si>
    <r>
      <t xml:space="preserve">metric_name = 'PARTNER_CONCENTRATION' — </t>
    </r>
    <r>
      <rPr>
        <i/>
        <sz val="9"/>
        <rFont val="微软雅黑"/>
        <family val="2"/>
        <charset val="134"/>
      </rPr>
      <t>每个</t>
    </r>
    <r>
      <rPr>
        <i/>
        <sz val="9"/>
        <rFont val="Arial"/>
        <family val="2"/>
      </rPr>
      <t xml:space="preserve"> metric_scope </t>
    </r>
    <r>
      <rPr>
        <i/>
        <sz val="9"/>
        <rFont val="微软雅黑"/>
        <family val="2"/>
        <charset val="134"/>
      </rPr>
      <t>一条系列</t>
    </r>
    <phoneticPr fontId="14" type="noConversion"/>
  </si>
  <si>
    <t>simulation_date</t>
    <phoneticPr fontId="14" type="noConversion"/>
  </si>
  <si>
    <t>Parsed from metric_scope: {origination_source}:{asset_type} concatenated</t>
    <phoneticPr fontId="14" type="noConversion"/>
  </si>
  <si>
    <t>Parsed from metric_scope: {tenor} component</t>
    <phoneticPr fontId="14" type="noConversion"/>
  </si>
  <si>
    <t>Parsed from metric_scope: {dpd_bucket} component</t>
    <phoneticPr fontId="14" type="noConversion"/>
  </si>
  <si>
    <t>metric_name = 'EXPECTED_LOSS_RATE'</t>
    <phoneticPr fontId="14" type="noConversion"/>
  </si>
  <si>
    <t>metric_name = 'FV_DISCOUNT_RATE'</t>
    <phoneticPr fontId="14" type="noConversion"/>
  </si>
  <si>
    <t>Count of portfolio loans matching the product line × DPD bucket at end of month. Available in Historical Record Generation mode from sim_portfolio_snapshot. In Quick Simulation mode: not available — leave blank.</t>
    <phoneticPr fontId="14" type="noConversion"/>
  </si>
  <si>
    <t>Sum of outstanding principal for loans matching the product line × DPD bucket at end of month. Same availability as above.</t>
    <phoneticPr fontId="14" type="noConversion"/>
  </si>
  <si>
    <t>Equity IRR</t>
    <phoneticPr fontId="14" type="noConversion"/>
  </si>
  <si>
    <t>Class A IRR</t>
    <phoneticPr fontId="14" type="noConversion"/>
  </si>
  <si>
    <t>Class B IRR</t>
    <phoneticPr fontId="14" type="noConversion"/>
  </si>
  <si>
    <t>Min OC Ratio</t>
    <phoneticPr fontId="14" type="noConversion"/>
  </si>
  <si>
    <t>OC Breach Days</t>
    <phoneticPr fontId="14" type="noConversion"/>
  </si>
  <si>
    <t>Default Rate</t>
    <phoneticPr fontId="14" type="noConversion"/>
  </si>
  <si>
    <t>Recovery Rate</t>
    <phoneticPr fontId="14" type="noConversion"/>
  </si>
  <si>
    <t>Net Loss</t>
    <phoneticPr fontId="14" type="noConversion"/>
  </si>
  <si>
    <t>Deal Metrics</t>
    <phoneticPr fontId="14" type="noConversion"/>
  </si>
  <si>
    <t>ABS Notional</t>
    <phoneticPr fontId="14" type="noConversion"/>
  </si>
  <si>
    <t>Performing Balance</t>
    <phoneticPr fontId="14" type="noConversion"/>
  </si>
  <si>
    <t>Total Outstanding</t>
    <phoneticPr fontId="14" type="noConversion"/>
  </si>
  <si>
    <t>Delinquency Ratio</t>
    <phoneticPr fontId="14" type="noConversion"/>
  </si>
  <si>
    <t>DPD 1-30</t>
    <phoneticPr fontId="14" type="noConversion"/>
  </si>
  <si>
    <t>DPD 31-60</t>
    <phoneticPr fontId="14" type="noConversion"/>
  </si>
  <si>
    <t>DPD 61-90</t>
    <phoneticPr fontId="14" type="noConversion"/>
  </si>
  <si>
    <t>DPD 90+</t>
    <phoneticPr fontId="14" type="noConversion"/>
  </si>
  <si>
    <t>Cumulative Defaults</t>
    <phoneticPr fontId="14" type="noConversion"/>
  </si>
  <si>
    <t>Breach Days in Month</t>
    <phoneticPr fontId="14" type="noConversion"/>
  </si>
  <si>
    <t>Reserve Balance</t>
    <phoneticPr fontId="14" type="noConversion"/>
  </si>
  <si>
    <t>SPV Cash Balance</t>
    <phoneticPr fontId="14" type="noConversion"/>
  </si>
  <si>
    <t>Portfolio Metrics</t>
    <phoneticPr fontId="14" type="noConversion"/>
  </si>
  <si>
    <t>Daily Collections</t>
    <phoneticPr fontId="14" type="noConversion"/>
  </si>
  <si>
    <t>Daily Cash Out</t>
    <phoneticPr fontId="14" type="noConversion"/>
  </si>
  <si>
    <t>DPD Current</t>
    <phoneticPr fontId="14" type="noConversion"/>
  </si>
  <si>
    <t>WH Balance</t>
    <phoneticPr fontId="14" type="noConversion"/>
  </si>
  <si>
    <t>WH Eligible</t>
    <phoneticPr fontId="14" type="noConversion"/>
  </si>
  <si>
    <t>WH New Bookings</t>
    <phoneticPr fontId="14" type="noConversion"/>
  </si>
  <si>
    <t>Partner KPI %</t>
    <phoneticPr fontId="14" type="noConversion"/>
  </si>
  <si>
    <t>Partner FDI %</t>
    <phoneticPr fontId="14" type="noConversion"/>
  </si>
  <si>
    <t>Partner SCB %</t>
    <phoneticPr fontId="14" type="noConversion"/>
  </si>
  <si>
    <t>WH New Amount</t>
    <phoneticPr fontId="14" type="noConversion"/>
  </si>
  <si>
    <t>Product Line</t>
    <phoneticPr fontId="14" type="noConversion"/>
  </si>
  <si>
    <t>simulated_abs</t>
  </si>
  <si>
    <t>abs_main</t>
    <phoneticPr fontId="14" type="noConversion"/>
  </si>
  <si>
    <t>simulation_output_cashflow_report</t>
  </si>
  <si>
    <t>simulation_output_metric</t>
    <phoneticPr fontId="14" type="noConversion"/>
  </si>
  <si>
    <r>
      <t>DEFAULT_RATE</t>
    </r>
    <r>
      <rPr>
        <sz val="11"/>
        <color theme="1"/>
        <rFont val="宋体"/>
        <family val="2"/>
        <charset val="134"/>
      </rPr>
      <t>指标的分子</t>
    </r>
    <phoneticPr fontId="14" type="noConversion"/>
  </si>
  <si>
    <r>
      <t>Cumulative Recoveries</t>
    </r>
    <r>
      <rPr>
        <sz val="11"/>
        <color theme="1"/>
        <rFont val="宋体"/>
        <family val="2"/>
        <charset val="134"/>
      </rPr>
      <t>是</t>
    </r>
    <r>
      <rPr>
        <sz val="11"/>
        <color theme="1"/>
        <rFont val="Calibri"/>
        <family val="2"/>
        <charset val="1"/>
      </rPr>
      <t>RECOVERY_RATE</t>
    </r>
    <r>
      <rPr>
        <sz val="11"/>
        <color theme="1"/>
        <rFont val="宋体"/>
        <family val="2"/>
        <charset val="134"/>
      </rPr>
      <t>指标的分子</t>
    </r>
    <phoneticPr fontId="14" type="noConversion"/>
  </si>
  <si>
    <t>Requested</t>
    <phoneticPr fontId="14" type="noConversion"/>
  </si>
  <si>
    <t>metric_name : Shortfall Reason, metric_scope :Shortfall by Partner</t>
    <phoneticPr fontId="14" type="noConversion"/>
  </si>
  <si>
    <t>历史模式</t>
    <phoneticPr fontId="14" type="noConversion"/>
  </si>
  <si>
    <t xml:space="preserve">simulation_output_covenant_check </t>
    <phoneticPr fontId="14" type="noConversion"/>
  </si>
  <si>
    <r>
      <t>metric_name = 'Cumulative Defaults'  --</t>
    </r>
    <r>
      <rPr>
        <b/>
        <sz val="11"/>
        <color rgb="FFFF0000"/>
        <rFont val="宋体"/>
        <family val="2"/>
        <charset val="134"/>
      </rPr>
      <t>增加</t>
    </r>
    <phoneticPr fontId="14" type="noConversion"/>
  </si>
  <si>
    <r>
      <t>metric_name = 'Cumulative Recoveries'  --</t>
    </r>
    <r>
      <rPr>
        <b/>
        <sz val="11"/>
        <color rgb="FFFF0000"/>
        <rFont val="宋体"/>
        <family val="2"/>
        <charset val="134"/>
      </rPr>
      <t>增加</t>
    </r>
    <phoneticPr fontId="14" type="noConversion"/>
  </si>
  <si>
    <r>
      <rPr>
        <b/>
        <sz val="10"/>
        <color rgb="FFFF0000"/>
        <rFont val="宋体"/>
        <family val="3"/>
        <charset val="134"/>
      </rPr>
      <t>实际用这张表</t>
    </r>
    <r>
      <rPr>
        <b/>
        <sz val="11"/>
        <color rgb="FFFF0000"/>
        <rFont val="Calibri"/>
        <family val="2"/>
        <charset val="1"/>
      </rPr>
      <t>ads_projection_cashflow_measurement</t>
    </r>
    <phoneticPr fontId="14" type="noConversion"/>
  </si>
  <si>
    <t>Fulfilled</t>
    <phoneticPr fontId="14" type="noConversion"/>
  </si>
  <si>
    <t>Shortfall</t>
    <phoneticPr fontId="14" type="noConversion"/>
  </si>
  <si>
    <t>Fulfillment Rate</t>
    <phoneticPr fontId="14" type="noConversion"/>
  </si>
  <si>
    <r>
      <t>metric_name = 'PORTFOLIO_PERFORMING_BALANCE'</t>
    </r>
    <r>
      <rPr>
        <b/>
        <i/>
        <sz val="9"/>
        <color rgb="FFFF0000"/>
        <rFont val="宋体"/>
        <family val="2"/>
        <charset val="134"/>
      </rPr>
      <t>，</t>
    </r>
    <r>
      <rPr>
        <b/>
        <i/>
        <sz val="9"/>
        <color rgb="FFFF0000"/>
        <rFont val="Calibri"/>
        <family val="2"/>
        <charset val="1"/>
      </rPr>
      <t>metric_scope IS NULL</t>
    </r>
    <phoneticPr fontId="14" type="noConversion"/>
  </si>
  <si>
    <r>
      <t>metric_name = 'PORTFOLIO_TOTAL_OUTSTANDING'</t>
    </r>
    <r>
      <rPr>
        <b/>
        <i/>
        <sz val="9"/>
        <color rgb="FFFF0000"/>
        <rFont val="宋体"/>
        <family val="2"/>
        <charset val="134"/>
      </rPr>
      <t>，</t>
    </r>
    <r>
      <rPr>
        <b/>
        <i/>
        <sz val="9"/>
        <color rgb="FFFF0000"/>
        <rFont val="Calibri"/>
        <family val="2"/>
        <charset val="1"/>
      </rPr>
      <t>metric_scope IS NULL</t>
    </r>
    <phoneticPr fontId="14" type="noConversion"/>
  </si>
  <si>
    <r>
      <t>和</t>
    </r>
    <r>
      <rPr>
        <b/>
        <sz val="11"/>
        <color rgb="FFFF0000"/>
        <rFont val="Calibri"/>
        <family val="2"/>
        <charset val="1"/>
      </rPr>
      <t>Daily Metrics</t>
    </r>
    <r>
      <rPr>
        <b/>
        <sz val="11"/>
        <color rgb="FFFF0000"/>
        <rFont val="宋体"/>
        <family val="3"/>
        <charset val="134"/>
      </rPr>
      <t>逻辑不一致</t>
    </r>
  </si>
  <si>
    <r>
      <rPr>
        <b/>
        <sz val="11"/>
        <color rgb="FFFF0000"/>
        <rFont val="宋体"/>
        <family val="2"/>
        <charset val="134"/>
      </rPr>
      <t>和</t>
    </r>
    <r>
      <rPr>
        <b/>
        <sz val="11"/>
        <color rgb="FFFF0000"/>
        <rFont val="Calibri"/>
        <family val="2"/>
        <charset val="1"/>
      </rPr>
      <t>Daily Metrics</t>
    </r>
    <r>
      <rPr>
        <b/>
        <sz val="11"/>
        <color rgb="FFFF0000"/>
        <rFont val="宋体"/>
        <family val="2"/>
        <charset val="134"/>
      </rPr>
      <t>逻辑不一致</t>
    </r>
    <phoneticPr fontId="14" type="noConversion"/>
  </si>
  <si>
    <t>以下几个指标也是历史记录模式下</t>
    <phoneticPr fontId="14" type="noConversion"/>
  </si>
  <si>
    <t>快速模式不做取消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</si>
</sst>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dd\-mmm\-yy"/>
  </numFmts>
  <fonts count="67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55555"/>
      <name val="Arial"/>
      <family val="2"/>
    </font>
    <font>
      <sz val="9"/>
      <color rgb="FF666666"/>
      <name val="Arial"/>
      <family val="2"/>
    </font>
    <font>
      <b/>
      <sz val="14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10"/>
      <name val="Arial"/>
      <family val="2"/>
    </font>
    <font>
      <b/>
      <sz val="14"/>
      <color rgb="FF2F5496"/>
      <name val="Arial"/>
      <family val="2"/>
    </font>
    <font>
      <b/>
      <sz val="12"/>
      <color rgb="FF2F5496"/>
      <name val="Arial"/>
      <family val="2"/>
    </font>
    <font>
      <b/>
      <sz val="9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</font>
    <font>
      <sz val="7"/>
      <color rgb="FF292A2E"/>
      <name val="Courier New"/>
      <family val="3"/>
    </font>
    <font>
      <sz val="7"/>
      <color rgb="FFFF0000"/>
      <name val="Courier New"/>
      <family val="3"/>
    </font>
    <font>
      <sz val="11"/>
      <color theme="1"/>
      <name val="宋体"/>
      <family val="2"/>
      <charset val="134"/>
    </font>
    <font>
      <b/>
      <sz val="11"/>
      <color rgb="FFFF0000"/>
      <name val="Calibri"/>
      <family val="2"/>
      <charset val="134"/>
    </font>
    <font>
      <b/>
      <sz val="11"/>
      <color rgb="FFFF0000"/>
      <name val="宋体"/>
      <family val="2"/>
      <charset val="134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34"/>
    </font>
    <font>
      <b/>
      <sz val="11"/>
      <color theme="1"/>
      <name val="宋体"/>
      <family val="2"/>
      <charset val="134"/>
    </font>
    <font>
      <b/>
      <sz val="11"/>
      <color theme="1"/>
      <name val="Calibri"/>
      <family val="2"/>
      <charset val="1"/>
    </font>
    <font>
      <b/>
      <sz val="11"/>
      <color rgb="FFFF0000"/>
      <name val="等线"/>
      <family val="2"/>
      <charset val="134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b/>
      <i/>
      <sz val="9"/>
      <color rgb="FFFF0000"/>
      <name val="Arial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charset val="1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7"/>
      <color rgb="FFFF0000"/>
      <name val="Courier New"/>
      <family val="3"/>
    </font>
    <font>
      <b/>
      <sz val="8"/>
      <color rgb="FFFF0000"/>
      <name val="Segoe UI"/>
      <family val="2"/>
    </font>
    <font>
      <sz val="6"/>
      <color rgb="FF292A2E"/>
      <name val="Courier New"/>
      <family val="3"/>
    </font>
    <font>
      <b/>
      <sz val="9"/>
      <color rgb="FFFF0000"/>
      <name val="Courier New"/>
      <family val="3"/>
    </font>
    <font>
      <b/>
      <sz val="10"/>
      <color rgb="FFFF0000"/>
      <name val="Courier New"/>
      <family val="3"/>
    </font>
    <font>
      <b/>
      <sz val="10"/>
      <color rgb="FFFF0000"/>
      <name val="宋体"/>
      <family val="2"/>
      <charset val="134"/>
    </font>
    <font>
      <b/>
      <sz val="10"/>
      <color rgb="FFFF0000"/>
      <name val="Calibri"/>
      <family val="2"/>
      <charset val="1"/>
    </font>
    <font>
      <b/>
      <sz val="9"/>
      <color rgb="FFFF0000"/>
      <name val="Segoe UI"/>
      <family val="3"/>
    </font>
    <font>
      <b/>
      <sz val="9"/>
      <color rgb="FFFF0000"/>
      <name val="Segoe UI"/>
      <family val="2"/>
    </font>
    <font>
      <b/>
      <sz val="10"/>
      <color rgb="FFFF0000"/>
      <name val="宋体"/>
      <family val="3"/>
      <charset val="134"/>
    </font>
    <font>
      <i/>
      <sz val="9"/>
      <color rgb="FFFF0000"/>
      <name val="Calibri"/>
      <family val="2"/>
      <charset val="1"/>
    </font>
    <font>
      <i/>
      <sz val="9"/>
      <color theme="1"/>
      <name val="Calibri"/>
      <family val="2"/>
      <charset val="1"/>
    </font>
    <font>
      <i/>
      <sz val="9"/>
      <color theme="1"/>
      <name val="宋体"/>
      <family val="2"/>
      <charset val="134"/>
    </font>
    <font>
      <i/>
      <sz val="9"/>
      <color theme="1"/>
      <name val="Calibri"/>
      <family val="2"/>
    </font>
    <font>
      <i/>
      <sz val="9"/>
      <color theme="1"/>
      <name val="Calibri"/>
      <family val="2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2"/>
      <charset val="134"/>
    </font>
    <font>
      <i/>
      <sz val="11"/>
      <color theme="1"/>
      <name val="Calibri"/>
      <family val="2"/>
      <charset val="1"/>
    </font>
    <font>
      <i/>
      <sz val="9"/>
      <color theme="1"/>
      <name val="等线"/>
      <family val="2"/>
      <charset val="134"/>
    </font>
    <font>
      <b/>
      <sz val="9"/>
      <color rgb="FFFF0000"/>
      <name val="宋体"/>
      <family val="3"/>
      <charset val="134"/>
    </font>
    <font>
      <b/>
      <i/>
      <sz val="9"/>
      <color rgb="FFFF0000"/>
      <name val="Calibri"/>
      <family val="2"/>
    </font>
    <font>
      <i/>
      <sz val="11"/>
      <color theme="1"/>
      <name val="Calibri"/>
      <family val="2"/>
    </font>
    <font>
      <i/>
      <sz val="9"/>
      <name val="Arial"/>
      <family val="2"/>
    </font>
    <font>
      <i/>
      <sz val="10"/>
      <name val="Arial"/>
      <family val="2"/>
    </font>
    <font>
      <b/>
      <i/>
      <sz val="8"/>
      <color rgb="FFFF0000"/>
      <name val="Arial"/>
      <family val="2"/>
      <charset val="134"/>
    </font>
    <font>
      <b/>
      <i/>
      <sz val="8"/>
      <color rgb="FFFF0000"/>
      <name val="宋体"/>
      <family val="2"/>
      <charset val="134"/>
    </font>
    <font>
      <b/>
      <i/>
      <sz val="8"/>
      <color rgb="FFFF0000"/>
      <name val="Arial"/>
      <family val="2"/>
    </font>
    <font>
      <i/>
      <sz val="9"/>
      <name val="Calibri"/>
      <family val="2"/>
      <charset val="1"/>
    </font>
    <font>
      <i/>
      <sz val="9"/>
      <name val="微软雅黑"/>
      <family val="2"/>
      <charset val="134"/>
    </font>
    <font>
      <b/>
      <sz val="11"/>
      <color rgb="FFFF0000"/>
      <name val="Calibri"/>
      <family val="3"/>
      <charset val="134"/>
    </font>
    <font>
      <b/>
      <i/>
      <sz val="9"/>
      <color rgb="FFFF0000"/>
      <name val="Calibri"/>
      <family val="2"/>
      <charset val="1"/>
    </font>
    <font>
      <b/>
      <i/>
      <sz val="9"/>
      <color rgb="FFFF0000"/>
      <name val="宋体"/>
      <family val="2"/>
      <charset val="134"/>
    </font>
    <font>
      <b/>
      <sz val="11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D6E4F0"/>
        <bgColor rgb="FFD9D9D9"/>
      </patternFill>
    </fill>
    <fill>
      <patternFill patternType="solid">
        <fgColor rgb="FF2F5496"/>
        <bgColor rgb="FF44546A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FF2CC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 style="medium">
        <color rgb="FFDDDEE1"/>
      </left>
      <right/>
      <top style="medium">
        <color rgb="FFDDDEE1"/>
      </top>
      <bottom/>
      <diagonal/>
    </border>
    <border>
      <left style="medium">
        <color rgb="FFDDDEE1"/>
      </left>
      <right/>
      <top style="medium">
        <color rgb="FFDDDEE1"/>
      </top>
      <bottom style="medium">
        <color rgb="FFDDDEE1"/>
      </bottom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 style="medium">
        <color rgb="FFDDDEE1"/>
      </bottom>
      <diagonal/>
    </border>
    <border>
      <left style="medium">
        <color rgb="FFDDDEE1"/>
      </left>
      <right style="medium">
        <color rgb="FFDDDEE1"/>
      </right>
      <top style="medium">
        <color rgb="FFDDDEE1"/>
      </top>
      <bottom/>
      <diagonal/>
    </border>
    <border>
      <left style="medium">
        <color rgb="FFDDDEE1"/>
      </left>
      <right style="medium">
        <color rgb="FFDDDEE1"/>
      </right>
      <top/>
      <bottom style="medium">
        <color rgb="FFDDDE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31" fillId="0" borderId="0" applyFont="0" applyFill="0" applyBorder="0" applyAlignment="0" applyProtection="0">
      <alignment vertical="center"/>
    </xf>
  </cellStyleXfs>
  <cellXfs count="117">
    <xf numFmtId="0" fontId="0" fillId="0" borderId="0" xfId="0"/>
    <xf numFmtId="0" fontId="5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/>
    <xf numFmtId="17" fontId="7" fillId="0" borderId="0" xfId="0" applyNumberFormat="1" applyFont="1"/>
    <xf numFmtId="176" fontId="7" fillId="0" borderId="0" xfId="0" applyNumberFormat="1" applyFont="1"/>
    <xf numFmtId="0" fontId="9" fillId="0" borderId="0" xfId="0" applyFont="1"/>
    <xf numFmtId="0" fontId="5" fillId="4" borderId="2" xfId="0" applyFont="1" applyFill="1" applyBorder="1" applyAlignment="1">
      <alignment horizontal="center"/>
    </xf>
    <xf numFmtId="17" fontId="5" fillId="4" borderId="2" xfId="0" applyNumberFormat="1" applyFont="1" applyFill="1" applyBorder="1" applyAlignment="1">
      <alignment horizontal="center"/>
    </xf>
    <xf numFmtId="176" fontId="5" fillId="4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7" fontId="7" fillId="0" borderId="2" xfId="0" applyNumberFormat="1" applyFont="1" applyBorder="1" applyAlignment="1">
      <alignment horizontal="center"/>
    </xf>
    <xf numFmtId="176" fontId="7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0" fillId="0" borderId="2" xfId="0" applyFont="1" applyBorder="1"/>
    <xf numFmtId="176" fontId="11" fillId="5" borderId="2" xfId="0" applyNumberFormat="1" applyFont="1" applyFill="1" applyBorder="1" applyAlignment="1">
      <alignment horizontal="center"/>
    </xf>
    <xf numFmtId="176" fontId="12" fillId="6" borderId="2" xfId="0" applyNumberFormat="1" applyFont="1" applyFill="1" applyBorder="1" applyAlignment="1">
      <alignment horizontal="center"/>
    </xf>
    <xf numFmtId="3" fontId="11" fillId="5" borderId="2" xfId="0" applyNumberFormat="1" applyFont="1" applyFill="1" applyBorder="1" applyAlignment="1">
      <alignment horizontal="center"/>
    </xf>
    <xf numFmtId="3" fontId="12" fillId="6" borderId="2" xfId="0" applyNumberFormat="1" applyFont="1" applyFill="1" applyBorder="1" applyAlignment="1">
      <alignment horizontal="center"/>
    </xf>
    <xf numFmtId="0" fontId="13" fillId="7" borderId="2" xfId="0" applyFont="1" applyFill="1" applyBorder="1"/>
    <xf numFmtId="17" fontId="7" fillId="7" borderId="2" xfId="0" applyNumberFormat="1" applyFont="1" applyFill="1" applyBorder="1"/>
    <xf numFmtId="176" fontId="13" fillId="7" borderId="2" xfId="0" applyNumberFormat="1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0" borderId="2" xfId="0" applyFont="1" applyBorder="1"/>
    <xf numFmtId="17" fontId="7" fillId="0" borderId="2" xfId="0" applyNumberFormat="1" applyFont="1" applyBorder="1"/>
    <xf numFmtId="0" fontId="5" fillId="4" borderId="2" xfId="0" applyFont="1" applyFill="1" applyBorder="1" applyAlignment="1">
      <alignment horizontal="center" wrapText="1"/>
    </xf>
    <xf numFmtId="177" fontId="7" fillId="0" borderId="2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0" applyFont="1"/>
    <xf numFmtId="0" fontId="15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0" fillId="0" borderId="0" xfId="0" applyFont="1"/>
    <xf numFmtId="0" fontId="8" fillId="0" borderId="0" xfId="0" applyFont="1"/>
    <xf numFmtId="0" fontId="33" fillId="10" borderId="4" xfId="0" applyFont="1" applyFill="1" applyBorder="1" applyAlignment="1">
      <alignment horizontal="left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33" fillId="10" borderId="7" xfId="0" applyFont="1" applyFill="1" applyBorder="1" applyAlignment="1">
      <alignment horizontal="left" vertical="center" wrapText="1"/>
    </xf>
    <xf numFmtId="0" fontId="32" fillId="11" borderId="7" xfId="0" applyFont="1" applyFill="1" applyBorder="1" applyAlignment="1">
      <alignment horizontal="left" vertical="center" wrapText="1"/>
    </xf>
    <xf numFmtId="0" fontId="17" fillId="11" borderId="5" xfId="0" applyFont="1" applyFill="1" applyBorder="1" applyAlignment="1">
      <alignment horizontal="left" vertical="center" wrapText="1"/>
    </xf>
    <xf numFmtId="0" fontId="32" fillId="11" borderId="6" xfId="0" applyFont="1" applyFill="1" applyBorder="1" applyAlignment="1">
      <alignment horizontal="left" vertical="center" wrapText="1"/>
    </xf>
    <xf numFmtId="0" fontId="36" fillId="0" borderId="0" xfId="0" applyFont="1"/>
    <xf numFmtId="0" fontId="0" fillId="0" borderId="0" xfId="0" applyAlignment="1">
      <alignment wrapText="1"/>
    </xf>
    <xf numFmtId="0" fontId="36" fillId="0" borderId="0" xfId="0" applyFont="1" applyAlignment="1">
      <alignment wrapText="1"/>
    </xf>
    <xf numFmtId="0" fontId="19" fillId="0" borderId="0" xfId="0" applyFont="1"/>
    <xf numFmtId="0" fontId="34" fillId="11" borderId="4" xfId="0" applyFont="1" applyFill="1" applyBorder="1" applyAlignment="1">
      <alignment horizontal="left" vertical="center" wrapText="1"/>
    </xf>
    <xf numFmtId="0" fontId="35" fillId="11" borderId="7" xfId="0" applyFont="1" applyFill="1" applyBorder="1" applyAlignment="1">
      <alignment horizontal="left" vertical="center" wrapText="1"/>
    </xf>
    <xf numFmtId="0" fontId="36" fillId="11" borderId="8" xfId="0" applyFont="1" applyFill="1" applyBorder="1" applyAlignment="1">
      <alignment horizontal="left" vertical="center"/>
    </xf>
    <xf numFmtId="0" fontId="38" fillId="8" borderId="0" xfId="0" applyFont="1" applyFill="1"/>
    <xf numFmtId="0" fontId="41" fillId="8" borderId="0" xfId="0" applyFont="1" applyFill="1" applyAlignment="1">
      <alignment horizontal="left" vertical="center" indent="1"/>
    </xf>
    <xf numFmtId="0" fontId="43" fillId="8" borderId="0" xfId="0" applyFont="1" applyFill="1"/>
    <xf numFmtId="0" fontId="39" fillId="8" borderId="0" xfId="0" applyFont="1" applyFill="1"/>
    <xf numFmtId="0" fontId="40" fillId="8" borderId="0" xfId="0" applyFont="1" applyFill="1"/>
    <xf numFmtId="0" fontId="0" fillId="8" borderId="0" xfId="0" applyFill="1"/>
    <xf numFmtId="0" fontId="22" fillId="8" borderId="0" xfId="0" applyFont="1" applyFill="1"/>
    <xf numFmtId="0" fontId="20" fillId="8" borderId="0" xfId="0" applyFont="1" applyFill="1"/>
    <xf numFmtId="0" fontId="44" fillId="0" borderId="0" xfId="0" applyFont="1"/>
    <xf numFmtId="0" fontId="45" fillId="0" borderId="0" xfId="0" applyFont="1"/>
    <xf numFmtId="0" fontId="51" fillId="0" borderId="0" xfId="0" applyFont="1"/>
    <xf numFmtId="3" fontId="0" fillId="0" borderId="0" xfId="0" applyNumberFormat="1"/>
    <xf numFmtId="176" fontId="30" fillId="8" borderId="0" xfId="1" applyNumberFormat="1" applyFont="1" applyFill="1" applyAlignment="1"/>
    <xf numFmtId="0" fontId="30" fillId="8" borderId="0" xfId="0" applyFont="1" applyFill="1"/>
    <xf numFmtId="0" fontId="55" fillId="0" borderId="0" xfId="0" applyFont="1"/>
    <xf numFmtId="0" fontId="57" fillId="0" borderId="0" xfId="0" applyFont="1"/>
    <xf numFmtId="176" fontId="57" fillId="0" borderId="0" xfId="0" applyNumberFormat="1" applyFont="1"/>
    <xf numFmtId="176" fontId="58" fillId="0" borderId="0" xfId="0" applyNumberFormat="1" applyFont="1"/>
    <xf numFmtId="0" fontId="56" fillId="0" borderId="0" xfId="0" applyFont="1" applyAlignment="1">
      <alignment wrapText="1"/>
    </xf>
    <xf numFmtId="0" fontId="61" fillId="0" borderId="0" xfId="0" applyFont="1" applyAlignment="1">
      <alignment wrapText="1"/>
    </xf>
    <xf numFmtId="0" fontId="22" fillId="0" borderId="0" xfId="0" applyFont="1"/>
    <xf numFmtId="0" fontId="63" fillId="0" borderId="0" xfId="0" applyFont="1"/>
    <xf numFmtId="0" fontId="66" fillId="0" borderId="0" xfId="0" applyFont="1"/>
    <xf numFmtId="0" fontId="54" fillId="8" borderId="0" xfId="0" applyFont="1" applyFill="1" applyAlignment="1">
      <alignment horizontal="center" wrapText="1"/>
    </xf>
    <xf numFmtId="0" fontId="47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6" fillId="3" borderId="1" xfId="0" applyFont="1" applyFill="1" applyBorder="1"/>
    <xf numFmtId="0" fontId="20" fillId="0" borderId="0" xfId="0" applyFont="1" applyAlignment="1">
      <alignment horizontal="center"/>
    </xf>
    <xf numFmtId="0" fontId="23" fillId="9" borderId="3" xfId="0" applyFont="1" applyFill="1" applyBorder="1" applyAlignment="1">
      <alignment horizontal="center"/>
    </xf>
    <xf numFmtId="0" fontId="25" fillId="9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64" fillId="8" borderId="0" xfId="0" applyFont="1" applyFill="1" applyAlignment="1">
      <alignment horizontal="center" wrapText="1"/>
    </xf>
    <xf numFmtId="0" fontId="45" fillId="0" borderId="0" xfId="0" applyFont="1" applyAlignment="1">
      <alignment horizontal="center" wrapText="1"/>
    </xf>
    <xf numFmtId="0" fontId="45" fillId="0" borderId="9" xfId="0" applyFont="1" applyBorder="1" applyAlignment="1">
      <alignment horizontal="center" wrapText="1"/>
    </xf>
    <xf numFmtId="0" fontId="45" fillId="0" borderId="12" xfId="0" applyFont="1" applyBorder="1" applyAlignment="1">
      <alignment horizontal="center" wrapText="1"/>
    </xf>
    <xf numFmtId="0" fontId="45" fillId="0" borderId="14" xfId="0" applyFont="1" applyBorder="1" applyAlignment="1">
      <alignment horizontal="center" wrapText="1"/>
    </xf>
    <xf numFmtId="0" fontId="45" fillId="0" borderId="10" xfId="0" applyFont="1" applyBorder="1" applyAlignment="1">
      <alignment horizontal="center" wrapText="1"/>
    </xf>
    <xf numFmtId="0" fontId="45" fillId="0" borderId="15" xfId="0" applyFont="1" applyBorder="1" applyAlignment="1">
      <alignment horizontal="center" wrapText="1"/>
    </xf>
    <xf numFmtId="0" fontId="45" fillId="0" borderId="11" xfId="0" applyFont="1" applyBorder="1" applyAlignment="1">
      <alignment horizontal="center" wrapText="1"/>
    </xf>
    <xf numFmtId="0" fontId="45" fillId="0" borderId="13" xfId="0" applyFont="1" applyBorder="1" applyAlignment="1">
      <alignment horizontal="center" wrapText="1"/>
    </xf>
    <xf numFmtId="0" fontId="45" fillId="0" borderId="16" xfId="0" applyFont="1" applyBorder="1" applyAlignment="1">
      <alignment horizontal="center" wrapText="1"/>
    </xf>
    <xf numFmtId="0" fontId="48" fillId="0" borderId="0" xfId="0" applyFont="1" applyAlignment="1">
      <alignment horizontal="center" wrapText="1"/>
    </xf>
    <xf numFmtId="0" fontId="37" fillId="8" borderId="0" xfId="0" applyFont="1" applyFill="1" applyAlignment="1">
      <alignment horizontal="center" wrapText="1"/>
    </xf>
    <xf numFmtId="0" fontId="8" fillId="0" borderId="0" xfId="0" applyFont="1" applyAlignment="1">
      <alignment horizontal="left"/>
    </xf>
    <xf numFmtId="0" fontId="29" fillId="0" borderId="0" xfId="0" applyFont="1"/>
    <xf numFmtId="17" fontId="56" fillId="0" borderId="0" xfId="0" applyNumberFormat="1" applyFont="1" applyAlignment="1">
      <alignment horizontal="center" wrapText="1"/>
    </xf>
    <xf numFmtId="0" fontId="56" fillId="0" borderId="0" xfId="0" applyFont="1" applyAlignment="1">
      <alignment horizontal="center" wrapText="1"/>
    </xf>
    <xf numFmtId="0" fontId="8" fillId="0" borderId="0" xfId="0" applyFont="1"/>
    <xf numFmtId="0" fontId="5" fillId="2" borderId="2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B3B3"/>
      <rgbColor rgb="FF878787"/>
      <rgbColor rgb="FF9999FF"/>
      <rgbColor rgb="FF7030A0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9F9F9"/>
      <rgbColor rgb="FFC6EFCE"/>
      <rgbColor rgb="FFFFFF99"/>
      <rgbColor rgb="FFD9D9D9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1F3864"/>
      <rgbColor rgb="FF00B050"/>
      <rgbColor rgb="FF003300"/>
      <rgbColor rgb="FF555555"/>
      <rgbColor rgb="FF993300"/>
      <rgbColor rgb="FF993366"/>
      <rgbColor rgb="FF2F5496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Default Rate &amp; Delinquency Ratio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'Portfolio Performance'!$E$35</c:f>
              <c:strCache>
                <c:ptCount val="1"/>
                <c:pt idx="0">
                  <c:v>Default Rate</c:v>
                </c:pt>
              </c:strCache>
            </c:strRef>
          </c:tx>
          <c:spPr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Performance'!$B$36:$B$59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'Portfolio Performance'!$E$36:$E$59</c:f>
              <c:numCache>
                <c:formatCode>0.0%</c:formatCode>
                <c:ptCount val="24"/>
                <c:pt idx="0">
                  <c:v>8.3999999999999995E-3</c:v>
                </c:pt>
                <c:pt idx="1">
                  <c:v>9.1999999999999998E-3</c:v>
                </c:pt>
                <c:pt idx="2">
                  <c:v>1.2500000000000001E-2</c:v>
                </c:pt>
                <c:pt idx="3">
                  <c:v>1.5599999999999999E-2</c:v>
                </c:pt>
                <c:pt idx="4">
                  <c:v>1.9900000000000001E-2</c:v>
                </c:pt>
                <c:pt idx="5">
                  <c:v>2.29E-2</c:v>
                </c:pt>
                <c:pt idx="6">
                  <c:v>2.6200000000000001E-2</c:v>
                </c:pt>
                <c:pt idx="7">
                  <c:v>2.52E-2</c:v>
                </c:pt>
                <c:pt idx="8">
                  <c:v>3.0200000000000001E-2</c:v>
                </c:pt>
                <c:pt idx="9">
                  <c:v>3.0599999999999999E-2</c:v>
                </c:pt>
                <c:pt idx="10">
                  <c:v>3.44E-2</c:v>
                </c:pt>
                <c:pt idx="11">
                  <c:v>4.0300000000000002E-2</c:v>
                </c:pt>
                <c:pt idx="12">
                  <c:v>4.1799999999999997E-2</c:v>
                </c:pt>
                <c:pt idx="13">
                  <c:v>4.8899999999999999E-2</c:v>
                </c:pt>
                <c:pt idx="14">
                  <c:v>5.1700000000000003E-2</c:v>
                </c:pt>
                <c:pt idx="15">
                  <c:v>5.1400000000000001E-2</c:v>
                </c:pt>
                <c:pt idx="16">
                  <c:v>5.5300000000000002E-2</c:v>
                </c:pt>
                <c:pt idx="17">
                  <c:v>5.5899999999999998E-2</c:v>
                </c:pt>
                <c:pt idx="18">
                  <c:v>6.2600000000000003E-2</c:v>
                </c:pt>
                <c:pt idx="19">
                  <c:v>6.2300000000000001E-2</c:v>
                </c:pt>
                <c:pt idx="20">
                  <c:v>6.4500000000000002E-2</c:v>
                </c:pt>
                <c:pt idx="21">
                  <c:v>6.6100000000000006E-2</c:v>
                </c:pt>
                <c:pt idx="22">
                  <c:v>7.2999999999999995E-2</c:v>
                </c:pt>
                <c:pt idx="23">
                  <c:v>7.6399999999999996E-2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70-4FD9-9A53-F37968F55262}"/>
            </c:ext>
          </c:extLst>
        </c:ser>
        <c:ser>
          <c:idx val="1"/>
          <c:order val="1"/>
          <c:tx>
            <c:strRef>
              <c:f>'Portfolio Performance'!$G$35</c:f>
              <c:strCache>
                <c:ptCount val="1"/>
                <c:pt idx="0">
                  <c:v>Delinquency Ratio</c:v>
                </c:pt>
              </c:strCache>
            </c:strRef>
          </c:tx>
          <c:spPr>
            <a:ln w="1260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Performance'!$B$36:$B$59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'Portfolio Performance'!$G$36:$G$59</c:f>
              <c:numCache>
                <c:formatCode>0.0%</c:formatCode>
                <c:ptCount val="24"/>
                <c:pt idx="0">
                  <c:v>4.5499999999999999E-2</c:v>
                </c:pt>
                <c:pt idx="1">
                  <c:v>6.0100000000000001E-2</c:v>
                </c:pt>
                <c:pt idx="2">
                  <c:v>5.2900000000000003E-2</c:v>
                </c:pt>
                <c:pt idx="3">
                  <c:v>3.6499999999999998E-2</c:v>
                </c:pt>
                <c:pt idx="4">
                  <c:v>2.3900000000000001E-2</c:v>
                </c:pt>
                <c:pt idx="5">
                  <c:v>6.59E-2</c:v>
                </c:pt>
                <c:pt idx="6">
                  <c:v>5.62E-2</c:v>
                </c:pt>
                <c:pt idx="7">
                  <c:v>2.7699999999999999E-2</c:v>
                </c:pt>
                <c:pt idx="8">
                  <c:v>4.2700000000000002E-2</c:v>
                </c:pt>
                <c:pt idx="9">
                  <c:v>5.2400000000000002E-2</c:v>
                </c:pt>
                <c:pt idx="10">
                  <c:v>2.9100000000000001E-2</c:v>
                </c:pt>
                <c:pt idx="11">
                  <c:v>2.69E-2</c:v>
                </c:pt>
                <c:pt idx="12">
                  <c:v>2.46E-2</c:v>
                </c:pt>
                <c:pt idx="13">
                  <c:v>4.0800000000000003E-2</c:v>
                </c:pt>
                <c:pt idx="14">
                  <c:v>6.9699999999999998E-2</c:v>
                </c:pt>
                <c:pt idx="15">
                  <c:v>6.3899999999999998E-2</c:v>
                </c:pt>
                <c:pt idx="16">
                  <c:v>2.1700000000000001E-2</c:v>
                </c:pt>
                <c:pt idx="17">
                  <c:v>7.6899999999999996E-2</c:v>
                </c:pt>
                <c:pt idx="18">
                  <c:v>3.3300000000000003E-2</c:v>
                </c:pt>
                <c:pt idx="19">
                  <c:v>3.6299999999999999E-2</c:v>
                </c:pt>
                <c:pt idx="20">
                  <c:v>6.3500000000000001E-2</c:v>
                </c:pt>
                <c:pt idx="21">
                  <c:v>3.6499999999999998E-2</c:v>
                </c:pt>
                <c:pt idx="22">
                  <c:v>4.6399999999999997E-2</c:v>
                </c:pt>
                <c:pt idx="23">
                  <c:v>2.9000000000000001E-2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70-4FD9-9A53-F37968F5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21649"/>
        <c:axId val="33663766"/>
      </c:lineChart>
      <c:dateAx>
        <c:axId val="232164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33663766"/>
        <c:crosses val="autoZero"/>
        <c:auto val="1"/>
        <c:lblOffset val="100"/>
        <c:baseTimeUnit val="months"/>
      </c:dateAx>
      <c:valAx>
        <c:axId val="336637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23216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Performing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'Portfolio Performance'!$C$35</c:f>
              <c:strCache>
                <c:ptCount val="1"/>
                <c:pt idx="0">
                  <c:v>Performing Balance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'Portfolio Performance'!$B$36:$B$59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'Portfolio Performance'!$C$36:$C$59</c:f>
              <c:numCache>
                <c:formatCode>#,##0</c:formatCode>
                <c:ptCount val="24"/>
                <c:pt idx="0">
                  <c:v>9505544818</c:v>
                </c:pt>
                <c:pt idx="1">
                  <c:v>9693108453</c:v>
                </c:pt>
                <c:pt idx="2">
                  <c:v>9741085386</c:v>
                </c:pt>
                <c:pt idx="3">
                  <c:v>9872807041</c:v>
                </c:pt>
                <c:pt idx="4">
                  <c:v>9133235230</c:v>
                </c:pt>
                <c:pt idx="5">
                  <c:v>9816853108</c:v>
                </c:pt>
                <c:pt idx="6">
                  <c:v>9336896145</c:v>
                </c:pt>
                <c:pt idx="7">
                  <c:v>9463613336</c:v>
                </c:pt>
                <c:pt idx="8">
                  <c:v>9704052950</c:v>
                </c:pt>
                <c:pt idx="9">
                  <c:v>8818077037</c:v>
                </c:pt>
                <c:pt idx="10">
                  <c:v>8739034910</c:v>
                </c:pt>
                <c:pt idx="11">
                  <c:v>8517298332</c:v>
                </c:pt>
                <c:pt idx="12">
                  <c:v>8995224951</c:v>
                </c:pt>
                <c:pt idx="13">
                  <c:v>7769164077</c:v>
                </c:pt>
                <c:pt idx="14">
                  <c:v>7758151594</c:v>
                </c:pt>
                <c:pt idx="15">
                  <c:v>8908670069</c:v>
                </c:pt>
                <c:pt idx="16">
                  <c:v>6902635837</c:v>
                </c:pt>
                <c:pt idx="17">
                  <c:v>8597122128</c:v>
                </c:pt>
                <c:pt idx="18">
                  <c:v>7340920708</c:v>
                </c:pt>
                <c:pt idx="19">
                  <c:v>7480725670</c:v>
                </c:pt>
                <c:pt idx="20">
                  <c:v>7586229363</c:v>
                </c:pt>
                <c:pt idx="21">
                  <c:v>8111290657</c:v>
                </c:pt>
                <c:pt idx="22">
                  <c:v>6028574182</c:v>
                </c:pt>
                <c:pt idx="23">
                  <c:v>5953989448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0-4A47-A9ED-1186A435F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92594"/>
        <c:axId val="50557451"/>
      </c:areaChart>
      <c:dateAx>
        <c:axId val="2519259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0557451"/>
        <c:crosses val="autoZero"/>
        <c:auto val="1"/>
        <c:lblOffset val="100"/>
        <c:baseTimeUnit val="months"/>
      </c:dateAx>
      <c:valAx>
        <c:axId val="50557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25192594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OC Ratio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'Liquidity &amp; OC'!$C$13</c:f>
              <c:strCache>
                <c:ptCount val="1"/>
                <c:pt idx="0">
                  <c:v>OC Ratio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48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'Liquidity &amp; OC'!$B$14:$B$37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'Liquidity &amp; OC'!$C$14:$C$37</c:f>
              <c:numCache>
                <c:formatCode>0.00%</c:formatCode>
                <c:ptCount val="24"/>
                <c:pt idx="0">
                  <c:v>1.1812</c:v>
                </c:pt>
                <c:pt idx="1">
                  <c:v>1.1380999999999999</c:v>
                </c:pt>
                <c:pt idx="2">
                  <c:v>1.1554</c:v>
                </c:pt>
                <c:pt idx="3">
                  <c:v>1.1444000000000001</c:v>
                </c:pt>
                <c:pt idx="4">
                  <c:v>1.1792</c:v>
                </c:pt>
                <c:pt idx="5">
                  <c:v>1.1369</c:v>
                </c:pt>
                <c:pt idx="6">
                  <c:v>1.1338999999999999</c:v>
                </c:pt>
                <c:pt idx="7">
                  <c:v>1.1559999999999999</c:v>
                </c:pt>
                <c:pt idx="8">
                  <c:v>1.1385000000000001</c:v>
                </c:pt>
                <c:pt idx="9">
                  <c:v>1.1563000000000001</c:v>
                </c:pt>
                <c:pt idx="10">
                  <c:v>1.1830000000000001</c:v>
                </c:pt>
                <c:pt idx="11">
                  <c:v>1.1947000000000001</c:v>
                </c:pt>
                <c:pt idx="12">
                  <c:v>1.1718</c:v>
                </c:pt>
                <c:pt idx="13">
                  <c:v>1.0616000000000001</c:v>
                </c:pt>
                <c:pt idx="14">
                  <c:v>1.0275000000000001</c:v>
                </c:pt>
                <c:pt idx="15">
                  <c:v>1.0247999999999999</c:v>
                </c:pt>
                <c:pt idx="16">
                  <c:v>1.1085</c:v>
                </c:pt>
                <c:pt idx="17">
                  <c:v>1.1605000000000001</c:v>
                </c:pt>
                <c:pt idx="18">
                  <c:v>1.1393</c:v>
                </c:pt>
                <c:pt idx="19">
                  <c:v>1.1555</c:v>
                </c:pt>
                <c:pt idx="20">
                  <c:v>1.1776</c:v>
                </c:pt>
                <c:pt idx="21">
                  <c:v>1.1289</c:v>
                </c:pt>
                <c:pt idx="22">
                  <c:v>1.1558999999999999</c:v>
                </c:pt>
                <c:pt idx="23">
                  <c:v>1.1074999999999999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FB6-44CC-86AA-A2F80DAEB792}"/>
            </c:ext>
          </c:extLst>
        </c:ser>
        <c:ser>
          <c:idx val="1"/>
          <c:order val="1"/>
          <c:tx>
            <c:strRef>
              <c:f>'Liquidity &amp; OC'!$E$13</c:f>
              <c:strCache>
                <c:ptCount val="1"/>
                <c:pt idx="0">
                  <c:v>Target OC</c:v>
                </c:pt>
              </c:strCache>
            </c:strRef>
          </c:tx>
          <c:spPr>
            <a:ln w="1260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  <a:prstDash val="dash"/>
                    </a:ln>
                  </c:spPr>
                </c15:leaderLines>
              </c:ext>
            </c:extLst>
          </c:dLbls>
          <c:cat>
            <c:numRef>
              <c:f>'Liquidity &amp; OC'!$B$14:$B$37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'Liquidity &amp; OC'!$E$14:$E$37</c:f>
              <c:numCache>
                <c:formatCode>0.00%</c:formatCode>
                <c:ptCount val="24"/>
                <c:pt idx="0">
                  <c:v>1.1000000000000001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FB6-44CC-86AA-A2F80DAE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5414348"/>
        <c:axId val="37586250"/>
      </c:lineChart>
      <c:dateAx>
        <c:axId val="55414348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37586250"/>
        <c:crosses val="autoZero"/>
        <c:auto val="1"/>
        <c:lblOffset val="100"/>
        <c:baseTimeUnit val="months"/>
      </c:dateAx>
      <c:valAx>
        <c:axId val="375862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OC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541434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Replenishment: Requested vs Fulfilled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Replenishment!$C$12</c:f>
              <c:strCache>
                <c:ptCount val="1"/>
                <c:pt idx="0">
                  <c:v>Requested</c:v>
                </c:pt>
              </c:strCache>
            </c:strRef>
          </c:tx>
          <c:spPr>
            <a:solidFill>
              <a:srgbClr val="2E75B6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Replenishment!$B$13:$B$36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Replenishment!$C$13:$C$36</c:f>
              <c:numCache>
                <c:formatCode>#,##0</c:formatCode>
                <c:ptCount val="24"/>
                <c:pt idx="0">
                  <c:v>301774403</c:v>
                </c:pt>
                <c:pt idx="1">
                  <c:v>248746181</c:v>
                </c:pt>
                <c:pt idx="2">
                  <c:v>301648178</c:v>
                </c:pt>
                <c:pt idx="3">
                  <c:v>358001236</c:v>
                </c:pt>
                <c:pt idx="4">
                  <c:v>364109895</c:v>
                </c:pt>
                <c:pt idx="5">
                  <c:v>399780467</c:v>
                </c:pt>
                <c:pt idx="6">
                  <c:v>269024788</c:v>
                </c:pt>
                <c:pt idx="7">
                  <c:v>264355470</c:v>
                </c:pt>
                <c:pt idx="8">
                  <c:v>246712489</c:v>
                </c:pt>
                <c:pt idx="9">
                  <c:v>341045576</c:v>
                </c:pt>
                <c:pt idx="10">
                  <c:v>364149510</c:v>
                </c:pt>
                <c:pt idx="11">
                  <c:v>300458230</c:v>
                </c:pt>
                <c:pt idx="12">
                  <c:v>288061242</c:v>
                </c:pt>
                <c:pt idx="13">
                  <c:v>281995724</c:v>
                </c:pt>
                <c:pt idx="14">
                  <c:v>393840726</c:v>
                </c:pt>
                <c:pt idx="15">
                  <c:v>370353058</c:v>
                </c:pt>
                <c:pt idx="16">
                  <c:v>263332231</c:v>
                </c:pt>
                <c:pt idx="17">
                  <c:v>207179820</c:v>
                </c:pt>
                <c:pt idx="18">
                  <c:v>149742592</c:v>
                </c:pt>
                <c:pt idx="19">
                  <c:v>113374783</c:v>
                </c:pt>
                <c:pt idx="20">
                  <c:v>140342406</c:v>
                </c:pt>
                <c:pt idx="21">
                  <c:v>87484109</c:v>
                </c:pt>
                <c:pt idx="22">
                  <c:v>129251947</c:v>
                </c:pt>
                <c:pt idx="23">
                  <c:v>111971037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F-4E8E-9BB9-4FE5EC6D647F}"/>
            </c:ext>
          </c:extLst>
        </c:ser>
        <c:ser>
          <c:idx val="1"/>
          <c:order val="1"/>
          <c:tx>
            <c:strRef>
              <c:f>Replenishment!$D$12</c:f>
              <c:strCache>
                <c:ptCount val="1"/>
                <c:pt idx="0">
                  <c:v>Fulfilled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Replenishment!$B$13:$B$36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Replenishment!$D$13:$D$36</c:f>
              <c:numCache>
                <c:formatCode>#,##0</c:formatCode>
                <c:ptCount val="24"/>
                <c:pt idx="0">
                  <c:v>268885138</c:v>
                </c:pt>
                <c:pt idx="1">
                  <c:v>232003016</c:v>
                </c:pt>
                <c:pt idx="2">
                  <c:v>296188026</c:v>
                </c:pt>
                <c:pt idx="3">
                  <c:v>326583536</c:v>
                </c:pt>
                <c:pt idx="4">
                  <c:v>324941081</c:v>
                </c:pt>
                <c:pt idx="5">
                  <c:v>369175694</c:v>
                </c:pt>
                <c:pt idx="6">
                  <c:v>250942990</c:v>
                </c:pt>
                <c:pt idx="7">
                  <c:v>232182843</c:v>
                </c:pt>
                <c:pt idx="8">
                  <c:v>238406092</c:v>
                </c:pt>
                <c:pt idx="9">
                  <c:v>233272826</c:v>
                </c:pt>
                <c:pt idx="10">
                  <c:v>270667360</c:v>
                </c:pt>
                <c:pt idx="11">
                  <c:v>182246891</c:v>
                </c:pt>
                <c:pt idx="12">
                  <c:v>168251640</c:v>
                </c:pt>
                <c:pt idx="13">
                  <c:v>267393195</c:v>
                </c:pt>
                <c:pt idx="14">
                  <c:v>354765498</c:v>
                </c:pt>
                <c:pt idx="15">
                  <c:v>362150183</c:v>
                </c:pt>
                <c:pt idx="16">
                  <c:v>252221616</c:v>
                </c:pt>
                <c:pt idx="17">
                  <c:v>178229157</c:v>
                </c:pt>
                <c:pt idx="18">
                  <c:v>132775498</c:v>
                </c:pt>
                <c:pt idx="19">
                  <c:v>104094468</c:v>
                </c:pt>
                <c:pt idx="20">
                  <c:v>99853305</c:v>
                </c:pt>
                <c:pt idx="21">
                  <c:v>64422637</c:v>
                </c:pt>
                <c:pt idx="22">
                  <c:v>95969043</c:v>
                </c:pt>
                <c:pt idx="23">
                  <c:v>85121216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F-4E8E-9BB9-4FE5EC6D647F}"/>
            </c:ext>
          </c:extLst>
        </c:ser>
        <c:ser>
          <c:idx val="2"/>
          <c:order val="2"/>
          <c:tx>
            <c:strRef>
              <c:f>Replenishment!$E$12</c:f>
              <c:strCache>
                <c:ptCount val="1"/>
                <c:pt idx="0">
                  <c:v>Shortfall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Replenishment!$B$13:$B$36</c:f>
              <c:numCache>
                <c:formatCode>mmm\-yy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</c:numCache>
            </c:numRef>
          </c:cat>
          <c:val>
            <c:numRef>
              <c:f>Replenishment!$E$13:$E$36</c:f>
              <c:numCache>
                <c:formatCode>#,##0</c:formatCode>
                <c:ptCount val="24"/>
                <c:pt idx="0">
                  <c:v>32889265</c:v>
                </c:pt>
                <c:pt idx="1">
                  <c:v>16743165</c:v>
                </c:pt>
                <c:pt idx="2">
                  <c:v>5460152</c:v>
                </c:pt>
                <c:pt idx="3">
                  <c:v>31417700</c:v>
                </c:pt>
                <c:pt idx="4">
                  <c:v>39168813</c:v>
                </c:pt>
                <c:pt idx="5">
                  <c:v>30604773</c:v>
                </c:pt>
                <c:pt idx="6">
                  <c:v>18081798</c:v>
                </c:pt>
                <c:pt idx="7">
                  <c:v>32172627</c:v>
                </c:pt>
                <c:pt idx="8">
                  <c:v>8306397</c:v>
                </c:pt>
                <c:pt idx="9">
                  <c:v>107772750</c:v>
                </c:pt>
                <c:pt idx="10">
                  <c:v>93482150</c:v>
                </c:pt>
                <c:pt idx="11">
                  <c:v>118211340</c:v>
                </c:pt>
                <c:pt idx="12">
                  <c:v>119809602</c:v>
                </c:pt>
                <c:pt idx="13">
                  <c:v>14602528</c:v>
                </c:pt>
                <c:pt idx="14">
                  <c:v>39075229</c:v>
                </c:pt>
                <c:pt idx="15">
                  <c:v>8202876</c:v>
                </c:pt>
                <c:pt idx="16">
                  <c:v>11110615</c:v>
                </c:pt>
                <c:pt idx="17">
                  <c:v>28950663</c:v>
                </c:pt>
                <c:pt idx="18">
                  <c:v>16967095</c:v>
                </c:pt>
                <c:pt idx="19">
                  <c:v>9280315</c:v>
                </c:pt>
                <c:pt idx="20">
                  <c:v>40489101</c:v>
                </c:pt>
                <c:pt idx="21">
                  <c:v>23061472</c:v>
                </c:pt>
                <c:pt idx="22">
                  <c:v>33282905</c:v>
                </c:pt>
                <c:pt idx="23">
                  <c:v>26849821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3F-4E8E-9BB9-4FE5EC6D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652863"/>
        <c:axId val="52185877"/>
      </c:barChart>
      <c:dateAx>
        <c:axId val="79652863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2185877"/>
        <c:crosses val="autoZero"/>
        <c:auto val="1"/>
        <c:lblOffset val="100"/>
        <c:baseTimeUnit val="months"/>
      </c:dateAx>
      <c:valAx>
        <c:axId val="52185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(IDR)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7965286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Portfolio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Metrics'!$B$12</c:f>
              <c:strCache>
                <c:ptCount val="1"/>
                <c:pt idx="0">
                  <c:v>Performing Balance</c:v>
                </c:pt>
              </c:strCache>
            </c:strRef>
          </c:tx>
          <c:spPr>
            <a:ln w="1260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Metrics'!$B$13:$B$117</c:f>
              <c:numCache>
                <c:formatCode>#,##0</c:formatCode>
                <c:ptCount val="105"/>
                <c:pt idx="0">
                  <c:v>9492665055</c:v>
                </c:pt>
                <c:pt idx="1">
                  <c:v>9340041238</c:v>
                </c:pt>
                <c:pt idx="2">
                  <c:v>9693242479</c:v>
                </c:pt>
                <c:pt idx="3">
                  <c:v>9636950116</c:v>
                </c:pt>
                <c:pt idx="4">
                  <c:v>10190391882</c:v>
                </c:pt>
                <c:pt idx="5">
                  <c:v>9687373654</c:v>
                </c:pt>
                <c:pt idx="6">
                  <c:v>9300544763</c:v>
                </c:pt>
                <c:pt idx="7">
                  <c:v>9971098121</c:v>
                </c:pt>
                <c:pt idx="8">
                  <c:v>9455508632</c:v>
                </c:pt>
                <c:pt idx="9">
                  <c:v>9683422737</c:v>
                </c:pt>
                <c:pt idx="10">
                  <c:v>9459949868</c:v>
                </c:pt>
                <c:pt idx="11">
                  <c:v>9708640407</c:v>
                </c:pt>
                <c:pt idx="12">
                  <c:v>9694148594</c:v>
                </c:pt>
                <c:pt idx="13">
                  <c:v>9702637722</c:v>
                </c:pt>
                <c:pt idx="14">
                  <c:v>9231716075</c:v>
                </c:pt>
                <c:pt idx="15">
                  <c:v>9476586795</c:v>
                </c:pt>
                <c:pt idx="16">
                  <c:v>10000639813</c:v>
                </c:pt>
                <c:pt idx="17">
                  <c:v>10041419833</c:v>
                </c:pt>
                <c:pt idx="18">
                  <c:v>9198211184</c:v>
                </c:pt>
                <c:pt idx="19">
                  <c:v>9778682703</c:v>
                </c:pt>
                <c:pt idx="20">
                  <c:v>9722961107</c:v>
                </c:pt>
                <c:pt idx="21">
                  <c:v>9868519548</c:v>
                </c:pt>
                <c:pt idx="22">
                  <c:v>9317207002</c:v>
                </c:pt>
                <c:pt idx="23">
                  <c:v>10162351988</c:v>
                </c:pt>
                <c:pt idx="24">
                  <c:v>9645864927</c:v>
                </c:pt>
                <c:pt idx="25">
                  <c:v>9983863211</c:v>
                </c:pt>
                <c:pt idx="26">
                  <c:v>9666097279</c:v>
                </c:pt>
                <c:pt idx="27">
                  <c:v>10197162575</c:v>
                </c:pt>
                <c:pt idx="28">
                  <c:v>9240574944</c:v>
                </c:pt>
                <c:pt idx="29">
                  <c:v>10226748952</c:v>
                </c:pt>
                <c:pt idx="30">
                  <c:v>9520123596</c:v>
                </c:pt>
                <c:pt idx="31">
                  <c:v>9616525300</c:v>
                </c:pt>
                <c:pt idx="32">
                  <c:v>9974851548</c:v>
                </c:pt>
                <c:pt idx="33">
                  <c:v>9321283484</c:v>
                </c:pt>
                <c:pt idx="34">
                  <c:v>9885026844</c:v>
                </c:pt>
                <c:pt idx="35">
                  <c:v>9632742549</c:v>
                </c:pt>
                <c:pt idx="36">
                  <c:v>10049851148</c:v>
                </c:pt>
                <c:pt idx="37">
                  <c:v>9940969318</c:v>
                </c:pt>
                <c:pt idx="38">
                  <c:v>9901985855</c:v>
                </c:pt>
                <c:pt idx="39">
                  <c:v>9196313684</c:v>
                </c:pt>
                <c:pt idx="40">
                  <c:v>9672337243</c:v>
                </c:pt>
                <c:pt idx="41">
                  <c:v>10140541644</c:v>
                </c:pt>
                <c:pt idx="42">
                  <c:v>9303801429</c:v>
                </c:pt>
                <c:pt idx="43">
                  <c:v>9121199866</c:v>
                </c:pt>
                <c:pt idx="44">
                  <c:v>9614208457</c:v>
                </c:pt>
                <c:pt idx="45">
                  <c:v>9762703751</c:v>
                </c:pt>
                <c:pt idx="46">
                  <c:v>9342874183</c:v>
                </c:pt>
                <c:pt idx="47">
                  <c:v>10137672047</c:v>
                </c:pt>
                <c:pt idx="48">
                  <c:v>10101923686</c:v>
                </c:pt>
                <c:pt idx="49">
                  <c:v>9988041807</c:v>
                </c:pt>
                <c:pt idx="50">
                  <c:v>9664658497</c:v>
                </c:pt>
                <c:pt idx="51">
                  <c:v>10140409113</c:v>
                </c:pt>
                <c:pt idx="52">
                  <c:v>9318639835</c:v>
                </c:pt>
                <c:pt idx="53">
                  <c:v>9291871416</c:v>
                </c:pt>
                <c:pt idx="54">
                  <c:v>9599466243</c:v>
                </c:pt>
                <c:pt idx="55">
                  <c:v>9292601898</c:v>
                </c:pt>
                <c:pt idx="56">
                  <c:v>10166062221</c:v>
                </c:pt>
                <c:pt idx="57">
                  <c:v>9144475794</c:v>
                </c:pt>
                <c:pt idx="58">
                  <c:v>10103503866</c:v>
                </c:pt>
                <c:pt idx="59">
                  <c:v>9199640609</c:v>
                </c:pt>
                <c:pt idx="60">
                  <c:v>9205981625</c:v>
                </c:pt>
                <c:pt idx="61">
                  <c:v>9630047634</c:v>
                </c:pt>
                <c:pt idx="62">
                  <c:v>9783066130</c:v>
                </c:pt>
                <c:pt idx="63">
                  <c:v>9375439068</c:v>
                </c:pt>
                <c:pt idx="64">
                  <c:v>9530418102</c:v>
                </c:pt>
                <c:pt idx="65">
                  <c:v>9640798015</c:v>
                </c:pt>
                <c:pt idx="66">
                  <c:v>9632916852</c:v>
                </c:pt>
                <c:pt idx="67">
                  <c:v>9197332250</c:v>
                </c:pt>
                <c:pt idx="68">
                  <c:v>9835550355</c:v>
                </c:pt>
                <c:pt idx="69">
                  <c:v>10068589816</c:v>
                </c:pt>
                <c:pt idx="70">
                  <c:v>9276477004</c:v>
                </c:pt>
                <c:pt idx="71">
                  <c:v>10045804993</c:v>
                </c:pt>
                <c:pt idx="72">
                  <c:v>10068542751</c:v>
                </c:pt>
                <c:pt idx="73">
                  <c:v>9389970076</c:v>
                </c:pt>
                <c:pt idx="74">
                  <c:v>9239350479</c:v>
                </c:pt>
                <c:pt idx="75">
                  <c:v>9146911483</c:v>
                </c:pt>
                <c:pt idx="76">
                  <c:v>9588675796</c:v>
                </c:pt>
                <c:pt idx="77">
                  <c:v>9143989391</c:v>
                </c:pt>
                <c:pt idx="78">
                  <c:v>9839443239</c:v>
                </c:pt>
                <c:pt idx="79">
                  <c:v>9888130826</c:v>
                </c:pt>
                <c:pt idx="80">
                  <c:v>10108583193</c:v>
                </c:pt>
                <c:pt idx="81">
                  <c:v>9846812357</c:v>
                </c:pt>
                <c:pt idx="82">
                  <c:v>9514901577</c:v>
                </c:pt>
                <c:pt idx="83">
                  <c:v>10043917908</c:v>
                </c:pt>
                <c:pt idx="84">
                  <c:v>9993901843</c:v>
                </c:pt>
                <c:pt idx="85">
                  <c:v>9275329770</c:v>
                </c:pt>
                <c:pt idx="86">
                  <c:v>10012962629</c:v>
                </c:pt>
                <c:pt idx="87">
                  <c:v>9243894792</c:v>
                </c:pt>
                <c:pt idx="88">
                  <c:v>9944943796</c:v>
                </c:pt>
                <c:pt idx="89">
                  <c:v>9756846782</c:v>
                </c:pt>
                <c:pt idx="90">
                  <c:v>9952835417</c:v>
                </c:pt>
                <c:pt idx="91">
                  <c:v>9876611682</c:v>
                </c:pt>
                <c:pt idx="92">
                  <c:v>9944489819</c:v>
                </c:pt>
                <c:pt idx="93">
                  <c:v>9612871737</c:v>
                </c:pt>
                <c:pt idx="94">
                  <c:v>9342874482</c:v>
                </c:pt>
                <c:pt idx="95">
                  <c:v>9529461895</c:v>
                </c:pt>
                <c:pt idx="96">
                  <c:v>9588523259</c:v>
                </c:pt>
                <c:pt idx="97">
                  <c:v>9409131479</c:v>
                </c:pt>
                <c:pt idx="98">
                  <c:v>9208735202</c:v>
                </c:pt>
                <c:pt idx="99">
                  <c:v>9225502721</c:v>
                </c:pt>
                <c:pt idx="100">
                  <c:v>9845447689</c:v>
                </c:pt>
                <c:pt idx="101">
                  <c:v>9599385853</c:v>
                </c:pt>
                <c:pt idx="102">
                  <c:v>9907282526</c:v>
                </c:pt>
                <c:pt idx="103">
                  <c:v>9963611229</c:v>
                </c:pt>
                <c:pt idx="104">
                  <c:v>10035247454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97-44FD-A409-CA590D997AAC}"/>
            </c:ext>
          </c:extLst>
        </c:ser>
        <c:ser>
          <c:idx val="1"/>
          <c:order val="1"/>
          <c:tx>
            <c:strRef>
              <c:f>'Daily Metrics'!$C$12</c:f>
              <c:strCache>
                <c:ptCount val="1"/>
                <c:pt idx="0">
                  <c:v>Total Outstanding</c:v>
                </c:pt>
              </c:strCache>
            </c:strRef>
          </c:tx>
          <c:spPr>
            <a:ln w="12600">
              <a:solidFill>
                <a:srgbClr val="BDD7E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Metrics'!$C$13:$C$117</c:f>
              <c:numCache>
                <c:formatCode>#,##0</c:formatCode>
                <c:ptCount val="105"/>
                <c:pt idx="0">
                  <c:v>10245105348</c:v>
                </c:pt>
                <c:pt idx="1">
                  <c:v>9891379078</c:v>
                </c:pt>
                <c:pt idx="2">
                  <c:v>10423593822</c:v>
                </c:pt>
                <c:pt idx="3">
                  <c:v>10346576447</c:v>
                </c:pt>
                <c:pt idx="4">
                  <c:v>10755062332</c:v>
                </c:pt>
                <c:pt idx="5">
                  <c:v>10420459347</c:v>
                </c:pt>
                <c:pt idx="6">
                  <c:v>9737173541</c:v>
                </c:pt>
                <c:pt idx="7">
                  <c:v>10649071546</c:v>
                </c:pt>
                <c:pt idx="8">
                  <c:v>9751782901</c:v>
                </c:pt>
                <c:pt idx="9">
                  <c:v>10166642016</c:v>
                </c:pt>
                <c:pt idx="10">
                  <c:v>9767653848</c:v>
                </c:pt>
                <c:pt idx="11">
                  <c:v>10450914354</c:v>
                </c:pt>
                <c:pt idx="12">
                  <c:v>10301745885</c:v>
                </c:pt>
                <c:pt idx="13">
                  <c:v>10083004296</c:v>
                </c:pt>
                <c:pt idx="14">
                  <c:v>9684408055</c:v>
                </c:pt>
                <c:pt idx="15">
                  <c:v>9854263973</c:v>
                </c:pt>
                <c:pt idx="16">
                  <c:v>10747764941</c:v>
                </c:pt>
                <c:pt idx="17">
                  <c:v>10472822807</c:v>
                </c:pt>
                <c:pt idx="18">
                  <c:v>9479656635</c:v>
                </c:pt>
                <c:pt idx="19">
                  <c:v>10384788326</c:v>
                </c:pt>
                <c:pt idx="20">
                  <c:v>10297917273</c:v>
                </c:pt>
                <c:pt idx="21">
                  <c:v>10479535641</c:v>
                </c:pt>
                <c:pt idx="22">
                  <c:v>9602662652</c:v>
                </c:pt>
                <c:pt idx="23">
                  <c:v>10666860169</c:v>
                </c:pt>
                <c:pt idx="24">
                  <c:v>10135841705</c:v>
                </c:pt>
                <c:pt idx="25">
                  <c:v>10638904040</c:v>
                </c:pt>
                <c:pt idx="26">
                  <c:v>10395568266</c:v>
                </c:pt>
                <c:pt idx="27">
                  <c:v>10790213543</c:v>
                </c:pt>
                <c:pt idx="28">
                  <c:v>9890980733</c:v>
                </c:pt>
                <c:pt idx="29">
                  <c:v>10635399550</c:v>
                </c:pt>
                <c:pt idx="30">
                  <c:v>9966385516</c:v>
                </c:pt>
                <c:pt idx="31">
                  <c:v>10255987490</c:v>
                </c:pt>
                <c:pt idx="32">
                  <c:v>10533766964</c:v>
                </c:pt>
                <c:pt idx="33">
                  <c:v>9736308068</c:v>
                </c:pt>
                <c:pt idx="34">
                  <c:v>10513156178</c:v>
                </c:pt>
                <c:pt idx="35">
                  <c:v>10273759846</c:v>
                </c:pt>
                <c:pt idx="36">
                  <c:v>10416624110</c:v>
                </c:pt>
                <c:pt idx="37">
                  <c:v>10533990512</c:v>
                </c:pt>
                <c:pt idx="38">
                  <c:v>10669357031</c:v>
                </c:pt>
                <c:pt idx="39">
                  <c:v>9483664095</c:v>
                </c:pt>
                <c:pt idx="40">
                  <c:v>10132561252</c:v>
                </c:pt>
                <c:pt idx="41">
                  <c:v>10625308872</c:v>
                </c:pt>
                <c:pt idx="42">
                  <c:v>10030482783</c:v>
                </c:pt>
                <c:pt idx="43">
                  <c:v>9687440538</c:v>
                </c:pt>
                <c:pt idx="44">
                  <c:v>10139619445</c:v>
                </c:pt>
                <c:pt idx="45">
                  <c:v>10392721431</c:v>
                </c:pt>
                <c:pt idx="46">
                  <c:v>10001147506</c:v>
                </c:pt>
                <c:pt idx="47">
                  <c:v>10746743492</c:v>
                </c:pt>
                <c:pt idx="48">
                  <c:v>10543025668</c:v>
                </c:pt>
                <c:pt idx="49">
                  <c:v>10547209865</c:v>
                </c:pt>
                <c:pt idx="50">
                  <c:v>10290132916</c:v>
                </c:pt>
                <c:pt idx="51">
                  <c:v>10768609134</c:v>
                </c:pt>
                <c:pt idx="52">
                  <c:v>10009284330</c:v>
                </c:pt>
                <c:pt idx="53">
                  <c:v>9996256567</c:v>
                </c:pt>
                <c:pt idx="54">
                  <c:v>10085739969</c:v>
                </c:pt>
                <c:pt idx="55">
                  <c:v>9969220505</c:v>
                </c:pt>
                <c:pt idx="56">
                  <c:v>10825231187</c:v>
                </c:pt>
                <c:pt idx="57">
                  <c:v>9421503621</c:v>
                </c:pt>
                <c:pt idx="58">
                  <c:v>10719317665</c:v>
                </c:pt>
                <c:pt idx="59">
                  <c:v>9814237094</c:v>
                </c:pt>
                <c:pt idx="60">
                  <c:v>9509779386</c:v>
                </c:pt>
                <c:pt idx="61">
                  <c:v>10045501098</c:v>
                </c:pt>
                <c:pt idx="62">
                  <c:v>10378003912</c:v>
                </c:pt>
                <c:pt idx="63">
                  <c:v>9882451033</c:v>
                </c:pt>
                <c:pt idx="64">
                  <c:v>10029230532</c:v>
                </c:pt>
                <c:pt idx="65">
                  <c:v>10250066092</c:v>
                </c:pt>
                <c:pt idx="66">
                  <c:v>10267221008</c:v>
                </c:pt>
                <c:pt idx="67">
                  <c:v>9488537812</c:v>
                </c:pt>
                <c:pt idx="68">
                  <c:v>10436439426</c:v>
                </c:pt>
                <c:pt idx="69">
                  <c:v>10829711099</c:v>
                </c:pt>
                <c:pt idx="70">
                  <c:v>9990396937</c:v>
                </c:pt>
                <c:pt idx="71">
                  <c:v>10732356428</c:v>
                </c:pt>
                <c:pt idx="72">
                  <c:v>10837316060</c:v>
                </c:pt>
                <c:pt idx="73">
                  <c:v>10071952274</c:v>
                </c:pt>
                <c:pt idx="74">
                  <c:v>9670434141</c:v>
                </c:pt>
                <c:pt idx="75">
                  <c:v>9700003949</c:v>
                </c:pt>
                <c:pt idx="76">
                  <c:v>9919948455</c:v>
                </c:pt>
                <c:pt idx="77">
                  <c:v>9704699748</c:v>
                </c:pt>
                <c:pt idx="78">
                  <c:v>10365790362</c:v>
                </c:pt>
                <c:pt idx="79">
                  <c:v>10476581993</c:v>
                </c:pt>
                <c:pt idx="80">
                  <c:v>10640897946</c:v>
                </c:pt>
                <c:pt idx="81">
                  <c:v>10587652723</c:v>
                </c:pt>
                <c:pt idx="82">
                  <c:v>10074119396</c:v>
                </c:pt>
                <c:pt idx="83">
                  <c:v>10814804934</c:v>
                </c:pt>
                <c:pt idx="84">
                  <c:v>10394720322</c:v>
                </c:pt>
                <c:pt idx="85">
                  <c:v>9739966508</c:v>
                </c:pt>
                <c:pt idx="86">
                  <c:v>10348588512</c:v>
                </c:pt>
                <c:pt idx="87">
                  <c:v>9581032612</c:v>
                </c:pt>
                <c:pt idx="88">
                  <c:v>10355431231</c:v>
                </c:pt>
                <c:pt idx="89">
                  <c:v>10475692658</c:v>
                </c:pt>
                <c:pt idx="90">
                  <c:v>10359187470</c:v>
                </c:pt>
                <c:pt idx="91">
                  <c:v>10554600616</c:v>
                </c:pt>
                <c:pt idx="92">
                  <c:v>10464668781</c:v>
                </c:pt>
                <c:pt idx="93">
                  <c:v>10141448322</c:v>
                </c:pt>
                <c:pt idx="94">
                  <c:v>10069832707</c:v>
                </c:pt>
                <c:pt idx="95">
                  <c:v>10047337740</c:v>
                </c:pt>
                <c:pt idx="96">
                  <c:v>10319510991</c:v>
                </c:pt>
                <c:pt idx="97">
                  <c:v>9808563542</c:v>
                </c:pt>
                <c:pt idx="98">
                  <c:v>9798536620</c:v>
                </c:pt>
                <c:pt idx="99">
                  <c:v>9570454517</c:v>
                </c:pt>
                <c:pt idx="100">
                  <c:v>10567253618</c:v>
                </c:pt>
                <c:pt idx="101">
                  <c:v>10077193629</c:v>
                </c:pt>
                <c:pt idx="102">
                  <c:v>10648966858</c:v>
                </c:pt>
                <c:pt idx="103">
                  <c:v>10534122025</c:v>
                </c:pt>
                <c:pt idx="104">
                  <c:v>10430014539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97-44FD-A409-CA590D99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23336"/>
        <c:axId val="12193899"/>
      </c:lineChart>
      <c:dateAx>
        <c:axId val="90233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12193899"/>
        <c:crosses val="autoZero"/>
        <c:auto val="1"/>
        <c:lblOffset val="100"/>
        <c:baseTimeUnit val="days"/>
      </c:dateAx>
      <c:valAx>
        <c:axId val="121938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IDR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90233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Default Rate &amp; Recovery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Metrics'!$D$12</c:f>
              <c:strCache>
                <c:ptCount val="1"/>
                <c:pt idx="0">
                  <c:v>Default Rate</c:v>
                </c:pt>
              </c:strCache>
            </c:strRef>
          </c:tx>
          <c:spPr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Metrics'!$D$13:$D$117</c:f>
              <c:numCache>
                <c:formatCode>0.00%</c:formatCode>
                <c:ptCount val="105"/>
                <c:pt idx="0">
                  <c:v>6.6E-3</c:v>
                </c:pt>
                <c:pt idx="1">
                  <c:v>1.14E-2</c:v>
                </c:pt>
                <c:pt idx="2">
                  <c:v>9.5999999999999992E-3</c:v>
                </c:pt>
                <c:pt idx="3">
                  <c:v>0.01</c:v>
                </c:pt>
                <c:pt idx="4">
                  <c:v>1.24E-2</c:v>
                </c:pt>
                <c:pt idx="5">
                  <c:v>1.26E-2</c:v>
                </c:pt>
                <c:pt idx="6">
                  <c:v>1.09E-2</c:v>
                </c:pt>
                <c:pt idx="7">
                  <c:v>1.14E-2</c:v>
                </c:pt>
                <c:pt idx="8">
                  <c:v>9.4999999999999998E-3</c:v>
                </c:pt>
                <c:pt idx="9">
                  <c:v>1.3599999999999999E-2</c:v>
                </c:pt>
                <c:pt idx="10">
                  <c:v>1.32E-2</c:v>
                </c:pt>
                <c:pt idx="11">
                  <c:v>1.32E-2</c:v>
                </c:pt>
                <c:pt idx="12">
                  <c:v>1.34E-2</c:v>
                </c:pt>
                <c:pt idx="13">
                  <c:v>1.72E-2</c:v>
                </c:pt>
                <c:pt idx="14">
                  <c:v>1.32E-2</c:v>
                </c:pt>
                <c:pt idx="15">
                  <c:v>1.3599999999999999E-2</c:v>
                </c:pt>
                <c:pt idx="16">
                  <c:v>1.7999999999999999E-2</c:v>
                </c:pt>
                <c:pt idx="17">
                  <c:v>1.6199999999999999E-2</c:v>
                </c:pt>
                <c:pt idx="18">
                  <c:v>1.95E-2</c:v>
                </c:pt>
                <c:pt idx="19">
                  <c:v>1.5599999999999999E-2</c:v>
                </c:pt>
                <c:pt idx="20">
                  <c:v>2.1299999999999999E-2</c:v>
                </c:pt>
                <c:pt idx="21">
                  <c:v>1.89E-2</c:v>
                </c:pt>
                <c:pt idx="22">
                  <c:v>1.7100000000000001E-2</c:v>
                </c:pt>
                <c:pt idx="23">
                  <c:v>1.9900000000000001E-2</c:v>
                </c:pt>
                <c:pt idx="24">
                  <c:v>2.0899999999999998E-2</c:v>
                </c:pt>
                <c:pt idx="25">
                  <c:v>2.1999999999999999E-2</c:v>
                </c:pt>
                <c:pt idx="26">
                  <c:v>2.2800000000000001E-2</c:v>
                </c:pt>
                <c:pt idx="27">
                  <c:v>2.3900000000000001E-2</c:v>
                </c:pt>
                <c:pt idx="28">
                  <c:v>2.18E-2</c:v>
                </c:pt>
                <c:pt idx="29">
                  <c:v>2.47E-2</c:v>
                </c:pt>
                <c:pt idx="30">
                  <c:v>2.18E-2</c:v>
                </c:pt>
                <c:pt idx="31">
                  <c:v>2.2200000000000001E-2</c:v>
                </c:pt>
                <c:pt idx="32">
                  <c:v>2.46E-2</c:v>
                </c:pt>
                <c:pt idx="33">
                  <c:v>2.3599999999999999E-2</c:v>
                </c:pt>
                <c:pt idx="34">
                  <c:v>2.6100000000000002E-2</c:v>
                </c:pt>
                <c:pt idx="35">
                  <c:v>2.7699999999999999E-2</c:v>
                </c:pt>
                <c:pt idx="36">
                  <c:v>2.7900000000000001E-2</c:v>
                </c:pt>
                <c:pt idx="37">
                  <c:v>2.6499999999999999E-2</c:v>
                </c:pt>
                <c:pt idx="38">
                  <c:v>2.58E-2</c:v>
                </c:pt>
                <c:pt idx="39">
                  <c:v>3.1199999999999999E-2</c:v>
                </c:pt>
                <c:pt idx="40">
                  <c:v>2.7E-2</c:v>
                </c:pt>
                <c:pt idx="41">
                  <c:v>3.0599999999999999E-2</c:v>
                </c:pt>
                <c:pt idx="42">
                  <c:v>3.1600000000000003E-2</c:v>
                </c:pt>
                <c:pt idx="43">
                  <c:v>3.15E-2</c:v>
                </c:pt>
                <c:pt idx="44">
                  <c:v>3.3300000000000003E-2</c:v>
                </c:pt>
                <c:pt idx="45">
                  <c:v>3.4500000000000003E-2</c:v>
                </c:pt>
                <c:pt idx="46">
                  <c:v>3.1300000000000001E-2</c:v>
                </c:pt>
                <c:pt idx="47">
                  <c:v>3.2199999999999999E-2</c:v>
                </c:pt>
                <c:pt idx="48">
                  <c:v>3.1800000000000002E-2</c:v>
                </c:pt>
                <c:pt idx="49">
                  <c:v>3.2300000000000002E-2</c:v>
                </c:pt>
                <c:pt idx="50">
                  <c:v>3.3300000000000003E-2</c:v>
                </c:pt>
                <c:pt idx="51">
                  <c:v>3.3700000000000001E-2</c:v>
                </c:pt>
                <c:pt idx="52">
                  <c:v>3.7199999999999997E-2</c:v>
                </c:pt>
                <c:pt idx="53">
                  <c:v>3.3000000000000002E-2</c:v>
                </c:pt>
                <c:pt idx="54">
                  <c:v>3.4599999999999999E-2</c:v>
                </c:pt>
                <c:pt idx="55">
                  <c:v>3.6400000000000002E-2</c:v>
                </c:pt>
                <c:pt idx="56">
                  <c:v>3.5700000000000003E-2</c:v>
                </c:pt>
                <c:pt idx="57">
                  <c:v>3.78E-2</c:v>
                </c:pt>
                <c:pt idx="58">
                  <c:v>3.7400000000000003E-2</c:v>
                </c:pt>
                <c:pt idx="59">
                  <c:v>3.8100000000000002E-2</c:v>
                </c:pt>
                <c:pt idx="60">
                  <c:v>4.0500000000000001E-2</c:v>
                </c:pt>
                <c:pt idx="61">
                  <c:v>4.24E-2</c:v>
                </c:pt>
                <c:pt idx="62">
                  <c:v>4.02E-2</c:v>
                </c:pt>
                <c:pt idx="63">
                  <c:v>4.3900000000000002E-2</c:v>
                </c:pt>
                <c:pt idx="64">
                  <c:v>3.95E-2</c:v>
                </c:pt>
                <c:pt idx="65">
                  <c:v>4.4499999999999998E-2</c:v>
                </c:pt>
                <c:pt idx="66">
                  <c:v>4.3999999999999997E-2</c:v>
                </c:pt>
                <c:pt idx="67">
                  <c:v>4.1200000000000001E-2</c:v>
                </c:pt>
                <c:pt idx="68">
                  <c:v>4.2500000000000003E-2</c:v>
                </c:pt>
                <c:pt idx="69">
                  <c:v>4.1500000000000002E-2</c:v>
                </c:pt>
                <c:pt idx="70">
                  <c:v>4.3499999999999997E-2</c:v>
                </c:pt>
                <c:pt idx="71">
                  <c:v>4.58E-2</c:v>
                </c:pt>
                <c:pt idx="72">
                  <c:v>4.7300000000000002E-2</c:v>
                </c:pt>
                <c:pt idx="73">
                  <c:v>4.7399999999999998E-2</c:v>
                </c:pt>
                <c:pt idx="74">
                  <c:v>4.9799999999999997E-2</c:v>
                </c:pt>
                <c:pt idx="75">
                  <c:v>4.8899999999999999E-2</c:v>
                </c:pt>
                <c:pt idx="76">
                  <c:v>4.7300000000000002E-2</c:v>
                </c:pt>
                <c:pt idx="77">
                  <c:v>5.1299999999999998E-2</c:v>
                </c:pt>
                <c:pt idx="78">
                  <c:v>5.1999999999999998E-2</c:v>
                </c:pt>
                <c:pt idx="79">
                  <c:v>4.7399999999999998E-2</c:v>
                </c:pt>
                <c:pt idx="80">
                  <c:v>4.8800000000000003E-2</c:v>
                </c:pt>
                <c:pt idx="81">
                  <c:v>5.16E-2</c:v>
                </c:pt>
                <c:pt idx="82">
                  <c:v>5.3699999999999998E-2</c:v>
                </c:pt>
                <c:pt idx="83">
                  <c:v>4.9399999999999999E-2</c:v>
                </c:pt>
                <c:pt idx="84">
                  <c:v>4.9799999999999997E-2</c:v>
                </c:pt>
                <c:pt idx="85">
                  <c:v>5.45E-2</c:v>
                </c:pt>
                <c:pt idx="86">
                  <c:v>5.3900000000000003E-2</c:v>
                </c:pt>
                <c:pt idx="87">
                  <c:v>5.2600000000000001E-2</c:v>
                </c:pt>
                <c:pt idx="88">
                  <c:v>5.1700000000000003E-2</c:v>
                </c:pt>
                <c:pt idx="89">
                  <c:v>5.7000000000000002E-2</c:v>
                </c:pt>
                <c:pt idx="90">
                  <c:v>5.4899999999999997E-2</c:v>
                </c:pt>
                <c:pt idx="91">
                  <c:v>5.3199999999999997E-2</c:v>
                </c:pt>
                <c:pt idx="92">
                  <c:v>5.4899999999999997E-2</c:v>
                </c:pt>
                <c:pt idx="93">
                  <c:v>5.8900000000000001E-2</c:v>
                </c:pt>
                <c:pt idx="94">
                  <c:v>5.74E-2</c:v>
                </c:pt>
                <c:pt idx="95">
                  <c:v>6.0999999999999999E-2</c:v>
                </c:pt>
                <c:pt idx="96">
                  <c:v>5.9400000000000001E-2</c:v>
                </c:pt>
                <c:pt idx="97">
                  <c:v>6.13E-2</c:v>
                </c:pt>
                <c:pt idx="98">
                  <c:v>6.25E-2</c:v>
                </c:pt>
                <c:pt idx="99">
                  <c:v>5.9900000000000002E-2</c:v>
                </c:pt>
                <c:pt idx="100">
                  <c:v>5.8000000000000003E-2</c:v>
                </c:pt>
                <c:pt idx="101">
                  <c:v>6.0900000000000003E-2</c:v>
                </c:pt>
                <c:pt idx="102">
                  <c:v>6.4600000000000005E-2</c:v>
                </c:pt>
                <c:pt idx="103">
                  <c:v>6.1199999999999997E-2</c:v>
                </c:pt>
                <c:pt idx="104">
                  <c:v>6.5500000000000003E-2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49E-4FCA-A564-2B83FE3FEE5B}"/>
            </c:ext>
          </c:extLst>
        </c:ser>
        <c:ser>
          <c:idx val="1"/>
          <c:order val="1"/>
          <c:tx>
            <c:strRef>
              <c:f>'Daily Metrics'!$E$12</c:f>
              <c:strCache>
                <c:ptCount val="1"/>
                <c:pt idx="0">
                  <c:v>Recovery Rate</c:v>
                </c:pt>
              </c:strCache>
            </c:strRef>
          </c:tx>
          <c:spPr>
            <a:ln w="126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Metrics'!$E$13:$E$117</c:f>
              <c:numCache>
                <c:formatCode>0.00%</c:formatCode>
                <c:ptCount val="105"/>
                <c:pt idx="0">
                  <c:v>0.2427</c:v>
                </c:pt>
                <c:pt idx="1">
                  <c:v>0.18310000000000001</c:v>
                </c:pt>
                <c:pt idx="2">
                  <c:v>0.23300000000000001</c:v>
                </c:pt>
                <c:pt idx="3">
                  <c:v>0.21759999999999999</c:v>
                </c:pt>
                <c:pt idx="4">
                  <c:v>0.24909999999999999</c:v>
                </c:pt>
                <c:pt idx="5">
                  <c:v>0.2006</c:v>
                </c:pt>
                <c:pt idx="6">
                  <c:v>0.21329999999999999</c:v>
                </c:pt>
                <c:pt idx="7">
                  <c:v>0.25390000000000001</c:v>
                </c:pt>
                <c:pt idx="8">
                  <c:v>0.22020000000000001</c:v>
                </c:pt>
                <c:pt idx="9">
                  <c:v>0.2</c:v>
                </c:pt>
                <c:pt idx="10">
                  <c:v>0.25059999999999999</c:v>
                </c:pt>
                <c:pt idx="11">
                  <c:v>0.25480000000000003</c:v>
                </c:pt>
                <c:pt idx="12">
                  <c:v>0.1943</c:v>
                </c:pt>
                <c:pt idx="13">
                  <c:v>0.25919999999999999</c:v>
                </c:pt>
                <c:pt idx="14">
                  <c:v>0.2041</c:v>
                </c:pt>
                <c:pt idx="15">
                  <c:v>0.23369999999999999</c:v>
                </c:pt>
                <c:pt idx="16">
                  <c:v>0.1837</c:v>
                </c:pt>
                <c:pt idx="17">
                  <c:v>0.24</c:v>
                </c:pt>
                <c:pt idx="18">
                  <c:v>0.2586</c:v>
                </c:pt>
                <c:pt idx="19">
                  <c:v>0.21970000000000001</c:v>
                </c:pt>
                <c:pt idx="20">
                  <c:v>0.188</c:v>
                </c:pt>
                <c:pt idx="21">
                  <c:v>0.25530000000000003</c:v>
                </c:pt>
                <c:pt idx="22">
                  <c:v>0.1888</c:v>
                </c:pt>
                <c:pt idx="23">
                  <c:v>0.24249999999999999</c:v>
                </c:pt>
                <c:pt idx="24">
                  <c:v>0.18740000000000001</c:v>
                </c:pt>
                <c:pt idx="25">
                  <c:v>0.2021</c:v>
                </c:pt>
                <c:pt idx="26">
                  <c:v>0.24610000000000001</c:v>
                </c:pt>
                <c:pt idx="27">
                  <c:v>0.24060000000000001</c:v>
                </c:pt>
                <c:pt idx="28">
                  <c:v>0.23050000000000001</c:v>
                </c:pt>
                <c:pt idx="29">
                  <c:v>0.1875</c:v>
                </c:pt>
                <c:pt idx="30">
                  <c:v>0.25990000000000002</c:v>
                </c:pt>
                <c:pt idx="31">
                  <c:v>0.2359</c:v>
                </c:pt>
                <c:pt idx="32">
                  <c:v>0.2462</c:v>
                </c:pt>
                <c:pt idx="33">
                  <c:v>0.1895</c:v>
                </c:pt>
                <c:pt idx="34">
                  <c:v>0.25790000000000002</c:v>
                </c:pt>
                <c:pt idx="35">
                  <c:v>0.20150000000000001</c:v>
                </c:pt>
                <c:pt idx="36">
                  <c:v>0.252</c:v>
                </c:pt>
                <c:pt idx="37">
                  <c:v>0.18970000000000001</c:v>
                </c:pt>
                <c:pt idx="38">
                  <c:v>0.20369999999999999</c:v>
                </c:pt>
                <c:pt idx="39">
                  <c:v>0.24149999999999999</c:v>
                </c:pt>
                <c:pt idx="40">
                  <c:v>0.191</c:v>
                </c:pt>
                <c:pt idx="41">
                  <c:v>0.25600000000000001</c:v>
                </c:pt>
                <c:pt idx="42">
                  <c:v>0.21740000000000001</c:v>
                </c:pt>
                <c:pt idx="43">
                  <c:v>0.24329999999999999</c:v>
                </c:pt>
                <c:pt idx="44">
                  <c:v>0.24940000000000001</c:v>
                </c:pt>
                <c:pt idx="45">
                  <c:v>0.23400000000000001</c:v>
                </c:pt>
                <c:pt idx="46">
                  <c:v>0.22040000000000001</c:v>
                </c:pt>
                <c:pt idx="47">
                  <c:v>0.18970000000000001</c:v>
                </c:pt>
                <c:pt idx="48">
                  <c:v>0.2344</c:v>
                </c:pt>
                <c:pt idx="49">
                  <c:v>0.18579999999999999</c:v>
                </c:pt>
                <c:pt idx="50">
                  <c:v>0.21440000000000001</c:v>
                </c:pt>
                <c:pt idx="51">
                  <c:v>0.19370000000000001</c:v>
                </c:pt>
                <c:pt idx="52">
                  <c:v>0.24640000000000001</c:v>
                </c:pt>
                <c:pt idx="53">
                  <c:v>0.24890000000000001</c:v>
                </c:pt>
                <c:pt idx="54">
                  <c:v>0.25890000000000002</c:v>
                </c:pt>
                <c:pt idx="55">
                  <c:v>0.1905</c:v>
                </c:pt>
                <c:pt idx="56">
                  <c:v>0.20979999999999999</c:v>
                </c:pt>
                <c:pt idx="57">
                  <c:v>0.2039</c:v>
                </c:pt>
                <c:pt idx="58">
                  <c:v>0.21790000000000001</c:v>
                </c:pt>
                <c:pt idx="59">
                  <c:v>0.2366</c:v>
                </c:pt>
                <c:pt idx="60">
                  <c:v>0.2283</c:v>
                </c:pt>
                <c:pt idx="61">
                  <c:v>0.2346</c:v>
                </c:pt>
                <c:pt idx="62">
                  <c:v>0.21970000000000001</c:v>
                </c:pt>
                <c:pt idx="63">
                  <c:v>0.2079</c:v>
                </c:pt>
                <c:pt idx="64">
                  <c:v>0.22220000000000001</c:v>
                </c:pt>
                <c:pt idx="65">
                  <c:v>0.2475</c:v>
                </c:pt>
                <c:pt idx="66">
                  <c:v>0.2213</c:v>
                </c:pt>
                <c:pt idx="67">
                  <c:v>0.1804</c:v>
                </c:pt>
                <c:pt idx="68">
                  <c:v>0.1963</c:v>
                </c:pt>
                <c:pt idx="69">
                  <c:v>0.22869999999999999</c:v>
                </c:pt>
                <c:pt idx="70">
                  <c:v>0.22850000000000001</c:v>
                </c:pt>
                <c:pt idx="71">
                  <c:v>0.2324</c:v>
                </c:pt>
                <c:pt idx="72">
                  <c:v>0.2482</c:v>
                </c:pt>
                <c:pt idx="73">
                  <c:v>0.23899999999999999</c:v>
                </c:pt>
                <c:pt idx="74">
                  <c:v>0.2576</c:v>
                </c:pt>
                <c:pt idx="75">
                  <c:v>0.245</c:v>
                </c:pt>
                <c:pt idx="76">
                  <c:v>0.2394</c:v>
                </c:pt>
                <c:pt idx="77">
                  <c:v>0.22059999999999999</c:v>
                </c:pt>
                <c:pt idx="78">
                  <c:v>0.1837</c:v>
                </c:pt>
                <c:pt idx="79">
                  <c:v>0.25750000000000001</c:v>
                </c:pt>
                <c:pt idx="80">
                  <c:v>0.2152</c:v>
                </c:pt>
                <c:pt idx="81">
                  <c:v>0.20630000000000001</c:v>
                </c:pt>
                <c:pt idx="82">
                  <c:v>0.21099999999999999</c:v>
                </c:pt>
                <c:pt idx="83">
                  <c:v>0.2346</c:v>
                </c:pt>
                <c:pt idx="84">
                  <c:v>0.2477</c:v>
                </c:pt>
                <c:pt idx="85">
                  <c:v>0.1958</c:v>
                </c:pt>
                <c:pt idx="86">
                  <c:v>0.25729999999999997</c:v>
                </c:pt>
                <c:pt idx="87">
                  <c:v>0.23799999999999999</c:v>
                </c:pt>
                <c:pt idx="88">
                  <c:v>0.19750000000000001</c:v>
                </c:pt>
                <c:pt idx="89">
                  <c:v>0.21479999999999999</c:v>
                </c:pt>
                <c:pt idx="90">
                  <c:v>0.18079999999999999</c:v>
                </c:pt>
                <c:pt idx="91">
                  <c:v>0.20219999999999999</c:v>
                </c:pt>
                <c:pt idx="92">
                  <c:v>0.24779999999999999</c:v>
                </c:pt>
                <c:pt idx="93">
                  <c:v>0.1966</c:v>
                </c:pt>
                <c:pt idx="94">
                  <c:v>0.1923</c:v>
                </c:pt>
                <c:pt idx="95">
                  <c:v>0.19189999999999999</c:v>
                </c:pt>
                <c:pt idx="96">
                  <c:v>0.18240000000000001</c:v>
                </c:pt>
                <c:pt idx="97">
                  <c:v>0.19</c:v>
                </c:pt>
                <c:pt idx="98">
                  <c:v>0.21529999999999999</c:v>
                </c:pt>
                <c:pt idx="99">
                  <c:v>0.21379999999999999</c:v>
                </c:pt>
                <c:pt idx="100">
                  <c:v>0.21229999999999999</c:v>
                </c:pt>
                <c:pt idx="101">
                  <c:v>0.24329999999999999</c:v>
                </c:pt>
                <c:pt idx="102">
                  <c:v>0.251</c:v>
                </c:pt>
                <c:pt idx="103">
                  <c:v>0.22739999999999999</c:v>
                </c:pt>
                <c:pt idx="104">
                  <c:v>0.2162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49E-4FCA-A564-2B83FE3F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728513"/>
        <c:axId val="50621756"/>
      </c:lineChart>
      <c:dateAx>
        <c:axId val="14728513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0621756"/>
        <c:crosses val="autoZero"/>
        <c:auto val="1"/>
        <c:lblOffset val="100"/>
        <c:baseTimeUnit val="days"/>
      </c:dateAx>
      <c:valAx>
        <c:axId val="506217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147285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OC Ratio vs Target (110%)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Metrics'!$G$12</c:f>
              <c:strCache>
                <c:ptCount val="1"/>
                <c:pt idx="0">
                  <c:v>OC Ratio</c:v>
                </c:pt>
              </c:strCache>
            </c:strRef>
          </c:tx>
          <c:spPr>
            <a:ln w="12600">
              <a:solidFill>
                <a:srgbClr val="2F549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Metrics'!$G$13:$G$117</c:f>
              <c:numCache>
                <c:formatCode>0.00%</c:formatCode>
                <c:ptCount val="105"/>
                <c:pt idx="0">
                  <c:v>1.1754</c:v>
                </c:pt>
                <c:pt idx="1">
                  <c:v>1.17</c:v>
                </c:pt>
                <c:pt idx="2">
                  <c:v>1.1741999999999999</c:v>
                </c:pt>
                <c:pt idx="3">
                  <c:v>1.1588000000000001</c:v>
                </c:pt>
                <c:pt idx="4">
                  <c:v>1.1942999999999999</c:v>
                </c:pt>
                <c:pt idx="5">
                  <c:v>1.1751</c:v>
                </c:pt>
                <c:pt idx="6">
                  <c:v>1.171</c:v>
                </c:pt>
                <c:pt idx="7">
                  <c:v>1.1827000000000001</c:v>
                </c:pt>
                <c:pt idx="8">
                  <c:v>1.2035</c:v>
                </c:pt>
                <c:pt idx="9">
                  <c:v>1.1872</c:v>
                </c:pt>
                <c:pt idx="10">
                  <c:v>1.1706000000000001</c:v>
                </c:pt>
                <c:pt idx="11">
                  <c:v>1.1701999999999999</c:v>
                </c:pt>
                <c:pt idx="12">
                  <c:v>1.1725000000000001</c:v>
                </c:pt>
                <c:pt idx="13">
                  <c:v>1.1715</c:v>
                </c:pt>
                <c:pt idx="14">
                  <c:v>1.1431</c:v>
                </c:pt>
                <c:pt idx="15">
                  <c:v>1.1963999999999999</c:v>
                </c:pt>
                <c:pt idx="16">
                  <c:v>1.1879</c:v>
                </c:pt>
                <c:pt idx="17">
                  <c:v>1.1809000000000001</c:v>
                </c:pt>
                <c:pt idx="18">
                  <c:v>1.1856</c:v>
                </c:pt>
                <c:pt idx="19">
                  <c:v>1.1400999999999999</c:v>
                </c:pt>
                <c:pt idx="20">
                  <c:v>1.1814</c:v>
                </c:pt>
                <c:pt idx="21">
                  <c:v>1.1518999999999999</c:v>
                </c:pt>
                <c:pt idx="22">
                  <c:v>1.1628000000000001</c:v>
                </c:pt>
                <c:pt idx="23">
                  <c:v>1.1388</c:v>
                </c:pt>
                <c:pt idx="24">
                  <c:v>1.1444000000000001</c:v>
                </c:pt>
                <c:pt idx="25">
                  <c:v>1.1716</c:v>
                </c:pt>
                <c:pt idx="26">
                  <c:v>1.1407</c:v>
                </c:pt>
                <c:pt idx="27">
                  <c:v>1.1568000000000001</c:v>
                </c:pt>
                <c:pt idx="28">
                  <c:v>1.1795</c:v>
                </c:pt>
                <c:pt idx="29">
                  <c:v>1.1403000000000001</c:v>
                </c:pt>
                <c:pt idx="30">
                  <c:v>1.1480999999999999</c:v>
                </c:pt>
                <c:pt idx="31">
                  <c:v>1.1612</c:v>
                </c:pt>
                <c:pt idx="32">
                  <c:v>1.1852</c:v>
                </c:pt>
                <c:pt idx="33">
                  <c:v>1.1725000000000001</c:v>
                </c:pt>
                <c:pt idx="34">
                  <c:v>1.1518999999999999</c:v>
                </c:pt>
                <c:pt idx="35">
                  <c:v>1.1577</c:v>
                </c:pt>
                <c:pt idx="36">
                  <c:v>1.1803999999999999</c:v>
                </c:pt>
                <c:pt idx="37">
                  <c:v>1.1465000000000001</c:v>
                </c:pt>
                <c:pt idx="38">
                  <c:v>1.1263000000000001</c:v>
                </c:pt>
                <c:pt idx="39">
                  <c:v>1.1758</c:v>
                </c:pt>
                <c:pt idx="40">
                  <c:v>1.1659999999999999</c:v>
                </c:pt>
                <c:pt idx="41">
                  <c:v>1.1492</c:v>
                </c:pt>
                <c:pt idx="42">
                  <c:v>1.1496999999999999</c:v>
                </c:pt>
                <c:pt idx="43">
                  <c:v>1.1411</c:v>
                </c:pt>
                <c:pt idx="44">
                  <c:v>1.1218999999999999</c:v>
                </c:pt>
                <c:pt idx="45">
                  <c:v>1.1207</c:v>
                </c:pt>
                <c:pt idx="46">
                  <c:v>1.1371</c:v>
                </c:pt>
                <c:pt idx="47">
                  <c:v>1.1164000000000001</c:v>
                </c:pt>
                <c:pt idx="48">
                  <c:v>1.1637</c:v>
                </c:pt>
                <c:pt idx="49">
                  <c:v>1.1387</c:v>
                </c:pt>
                <c:pt idx="50">
                  <c:v>1.1669</c:v>
                </c:pt>
                <c:pt idx="51">
                  <c:v>1.1214999999999999</c:v>
                </c:pt>
                <c:pt idx="52">
                  <c:v>1.1201000000000001</c:v>
                </c:pt>
                <c:pt idx="53">
                  <c:v>1.1317999999999999</c:v>
                </c:pt>
                <c:pt idx="54">
                  <c:v>1.1573</c:v>
                </c:pt>
                <c:pt idx="55">
                  <c:v>1.1426000000000001</c:v>
                </c:pt>
                <c:pt idx="56">
                  <c:v>1.1563000000000001</c:v>
                </c:pt>
                <c:pt idx="57">
                  <c:v>1.1273</c:v>
                </c:pt>
                <c:pt idx="58">
                  <c:v>1.1375</c:v>
                </c:pt>
                <c:pt idx="59">
                  <c:v>1.1335999999999999</c:v>
                </c:pt>
                <c:pt idx="60">
                  <c:v>1.1135999999999999</c:v>
                </c:pt>
                <c:pt idx="61">
                  <c:v>1.1417999999999999</c:v>
                </c:pt>
                <c:pt idx="62">
                  <c:v>1.1580999999999999</c:v>
                </c:pt>
                <c:pt idx="63">
                  <c:v>1.1193</c:v>
                </c:pt>
                <c:pt idx="64">
                  <c:v>1.1406000000000001</c:v>
                </c:pt>
                <c:pt idx="65">
                  <c:v>1.1163000000000001</c:v>
                </c:pt>
                <c:pt idx="66">
                  <c:v>1.1574</c:v>
                </c:pt>
                <c:pt idx="67">
                  <c:v>1.1327</c:v>
                </c:pt>
                <c:pt idx="68">
                  <c:v>1.1564000000000001</c:v>
                </c:pt>
                <c:pt idx="69">
                  <c:v>1.1276999999999999</c:v>
                </c:pt>
                <c:pt idx="70">
                  <c:v>1.1102000000000001</c:v>
                </c:pt>
                <c:pt idx="71">
                  <c:v>1.1173</c:v>
                </c:pt>
                <c:pt idx="72">
                  <c:v>1.1262000000000001</c:v>
                </c:pt>
                <c:pt idx="73">
                  <c:v>1.1343000000000001</c:v>
                </c:pt>
                <c:pt idx="74">
                  <c:v>1.1392</c:v>
                </c:pt>
                <c:pt idx="75">
                  <c:v>1.1232</c:v>
                </c:pt>
                <c:pt idx="76">
                  <c:v>1.1309</c:v>
                </c:pt>
                <c:pt idx="77">
                  <c:v>1.1486000000000001</c:v>
                </c:pt>
                <c:pt idx="78">
                  <c:v>1.1314</c:v>
                </c:pt>
                <c:pt idx="79">
                  <c:v>1.1241000000000001</c:v>
                </c:pt>
                <c:pt idx="80">
                  <c:v>1.1279999999999999</c:v>
                </c:pt>
                <c:pt idx="81">
                  <c:v>1.1029</c:v>
                </c:pt>
                <c:pt idx="82">
                  <c:v>1.1349</c:v>
                </c:pt>
                <c:pt idx="83">
                  <c:v>1.0964</c:v>
                </c:pt>
                <c:pt idx="84">
                  <c:v>1.1167</c:v>
                </c:pt>
                <c:pt idx="85">
                  <c:v>1.1129</c:v>
                </c:pt>
                <c:pt idx="86">
                  <c:v>1.1218999999999999</c:v>
                </c:pt>
                <c:pt idx="87">
                  <c:v>1.1351</c:v>
                </c:pt>
                <c:pt idx="88">
                  <c:v>1.0916999999999999</c:v>
                </c:pt>
                <c:pt idx="89">
                  <c:v>1.111</c:v>
                </c:pt>
                <c:pt idx="90">
                  <c:v>1.1327</c:v>
                </c:pt>
                <c:pt idx="91">
                  <c:v>1.1192</c:v>
                </c:pt>
                <c:pt idx="92">
                  <c:v>1.1061000000000001</c:v>
                </c:pt>
                <c:pt idx="93">
                  <c:v>1.1007</c:v>
                </c:pt>
                <c:pt idx="94">
                  <c:v>1.1104000000000001</c:v>
                </c:pt>
                <c:pt idx="95">
                  <c:v>1.0914999999999999</c:v>
                </c:pt>
                <c:pt idx="96">
                  <c:v>1.1238999999999999</c:v>
                </c:pt>
                <c:pt idx="97">
                  <c:v>1.1145</c:v>
                </c:pt>
                <c:pt idx="98">
                  <c:v>1.1191</c:v>
                </c:pt>
                <c:pt idx="99">
                  <c:v>1.0789</c:v>
                </c:pt>
                <c:pt idx="100">
                  <c:v>1.1137999999999999</c:v>
                </c:pt>
                <c:pt idx="101">
                  <c:v>1.1141000000000001</c:v>
                </c:pt>
                <c:pt idx="102">
                  <c:v>1.0803</c:v>
                </c:pt>
                <c:pt idx="103">
                  <c:v>1.0810999999999999</c:v>
                </c:pt>
                <c:pt idx="104">
                  <c:v>1.0749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C2-48B5-8A0B-347BF3367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7201030"/>
        <c:axId val="37295683"/>
      </c:lineChart>
      <c:dateAx>
        <c:axId val="97201030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37295683"/>
        <c:crosses val="autoZero"/>
        <c:auto val="1"/>
        <c:lblOffset val="100"/>
        <c:baseTimeUnit val="days"/>
      </c:dateAx>
      <c:valAx>
        <c:axId val="372956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OC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9720103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DPD Bucket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'Daily Metrics'!$L$12</c:f>
              <c:strCache>
                <c:ptCount val="1"/>
                <c:pt idx="0">
                  <c:v>DPD Current</c:v>
                </c:pt>
              </c:strCache>
            </c:strRef>
          </c:tx>
          <c:spPr>
            <a:solidFill>
              <a:srgbClr val="00B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Metrics'!$L$13:$L$117</c:f>
              <c:numCache>
                <c:formatCode>0.00%</c:formatCode>
                <c:ptCount val="105"/>
                <c:pt idx="0">
                  <c:v>0.94620000000000004</c:v>
                </c:pt>
                <c:pt idx="1">
                  <c:v>0.95469999999999999</c:v>
                </c:pt>
                <c:pt idx="2">
                  <c:v>0.94540000000000002</c:v>
                </c:pt>
                <c:pt idx="3">
                  <c:v>0.95320000000000005</c:v>
                </c:pt>
                <c:pt idx="4">
                  <c:v>0.94499999999999995</c:v>
                </c:pt>
                <c:pt idx="5">
                  <c:v>0.94489999999999996</c:v>
                </c:pt>
                <c:pt idx="6">
                  <c:v>0.94350000000000001</c:v>
                </c:pt>
                <c:pt idx="7">
                  <c:v>0.94779999999999998</c:v>
                </c:pt>
                <c:pt idx="8">
                  <c:v>0.94279999999999997</c:v>
                </c:pt>
                <c:pt idx="9">
                  <c:v>0.93910000000000005</c:v>
                </c:pt>
                <c:pt idx="10">
                  <c:v>0.94130000000000003</c:v>
                </c:pt>
                <c:pt idx="11">
                  <c:v>0.94550000000000001</c:v>
                </c:pt>
                <c:pt idx="12">
                  <c:v>0.93730000000000002</c:v>
                </c:pt>
                <c:pt idx="13">
                  <c:v>0.9456</c:v>
                </c:pt>
                <c:pt idx="14">
                  <c:v>0.94220000000000004</c:v>
                </c:pt>
                <c:pt idx="15">
                  <c:v>0.93959999999999999</c:v>
                </c:pt>
                <c:pt idx="16">
                  <c:v>0.93479999999999996</c:v>
                </c:pt>
                <c:pt idx="17">
                  <c:v>0.93740000000000001</c:v>
                </c:pt>
                <c:pt idx="18">
                  <c:v>0.93700000000000006</c:v>
                </c:pt>
                <c:pt idx="19">
                  <c:v>0.93759999999999999</c:v>
                </c:pt>
                <c:pt idx="20">
                  <c:v>0.93540000000000001</c:v>
                </c:pt>
                <c:pt idx="21">
                  <c:v>0.93020000000000003</c:v>
                </c:pt>
                <c:pt idx="22">
                  <c:v>0.93440000000000001</c:v>
                </c:pt>
                <c:pt idx="23">
                  <c:v>0.93479999999999996</c:v>
                </c:pt>
                <c:pt idx="24">
                  <c:v>0.9274</c:v>
                </c:pt>
                <c:pt idx="25">
                  <c:v>0.93930000000000002</c:v>
                </c:pt>
                <c:pt idx="26">
                  <c:v>0.93510000000000004</c:v>
                </c:pt>
                <c:pt idx="27">
                  <c:v>0.92710000000000004</c:v>
                </c:pt>
                <c:pt idx="28">
                  <c:v>0.93389999999999995</c:v>
                </c:pt>
                <c:pt idx="29">
                  <c:v>0.93079999999999996</c:v>
                </c:pt>
                <c:pt idx="30">
                  <c:v>0.93010000000000004</c:v>
                </c:pt>
                <c:pt idx="31">
                  <c:v>0.93379999999999996</c:v>
                </c:pt>
                <c:pt idx="32">
                  <c:v>0.93220000000000003</c:v>
                </c:pt>
                <c:pt idx="33">
                  <c:v>0.92769999999999997</c:v>
                </c:pt>
                <c:pt idx="34">
                  <c:v>0.92630000000000001</c:v>
                </c:pt>
                <c:pt idx="35">
                  <c:v>0.92490000000000006</c:v>
                </c:pt>
                <c:pt idx="36">
                  <c:v>0.92579999999999996</c:v>
                </c:pt>
                <c:pt idx="37">
                  <c:v>0.9254</c:v>
                </c:pt>
                <c:pt idx="38">
                  <c:v>0.92920000000000003</c:v>
                </c:pt>
                <c:pt idx="39">
                  <c:v>0.92259999999999998</c:v>
                </c:pt>
                <c:pt idx="40">
                  <c:v>0.91869999999999996</c:v>
                </c:pt>
                <c:pt idx="41">
                  <c:v>0.91930000000000001</c:v>
                </c:pt>
                <c:pt idx="42">
                  <c:v>0.9274</c:v>
                </c:pt>
                <c:pt idx="43">
                  <c:v>0.91400000000000003</c:v>
                </c:pt>
                <c:pt idx="44">
                  <c:v>0.91490000000000005</c:v>
                </c:pt>
                <c:pt idx="45">
                  <c:v>0.92820000000000003</c:v>
                </c:pt>
                <c:pt idx="46">
                  <c:v>0.92359999999999998</c:v>
                </c:pt>
                <c:pt idx="47">
                  <c:v>0.92120000000000002</c:v>
                </c:pt>
                <c:pt idx="48">
                  <c:v>0.92479999999999996</c:v>
                </c:pt>
                <c:pt idx="49">
                  <c:v>0.91790000000000005</c:v>
                </c:pt>
                <c:pt idx="50">
                  <c:v>0.92179999999999995</c:v>
                </c:pt>
                <c:pt idx="51">
                  <c:v>0.92330000000000001</c:v>
                </c:pt>
                <c:pt idx="52">
                  <c:v>0.91900000000000004</c:v>
                </c:pt>
                <c:pt idx="53">
                  <c:v>0.91579999999999995</c:v>
                </c:pt>
                <c:pt idx="54">
                  <c:v>0.91559999999999997</c:v>
                </c:pt>
                <c:pt idx="55">
                  <c:v>0.9194</c:v>
                </c:pt>
                <c:pt idx="56">
                  <c:v>0.9224</c:v>
                </c:pt>
                <c:pt idx="57">
                  <c:v>0.90949999999999998</c:v>
                </c:pt>
                <c:pt idx="58">
                  <c:v>0.9113</c:v>
                </c:pt>
                <c:pt idx="59">
                  <c:v>0.91649999999999998</c:v>
                </c:pt>
                <c:pt idx="60">
                  <c:v>0.91749999999999998</c:v>
                </c:pt>
                <c:pt idx="61">
                  <c:v>0.91979999999999995</c:v>
                </c:pt>
                <c:pt idx="62">
                  <c:v>0.91390000000000005</c:v>
                </c:pt>
                <c:pt idx="63">
                  <c:v>0.9113</c:v>
                </c:pt>
                <c:pt idx="64">
                  <c:v>0.9123</c:v>
                </c:pt>
                <c:pt idx="65">
                  <c:v>0.90620000000000001</c:v>
                </c:pt>
                <c:pt idx="66">
                  <c:v>0.90329999999999999</c:v>
                </c:pt>
                <c:pt idx="67">
                  <c:v>0.91090000000000004</c:v>
                </c:pt>
                <c:pt idx="68">
                  <c:v>0.90859999999999996</c:v>
                </c:pt>
                <c:pt idx="69">
                  <c:v>0.90529999999999999</c:v>
                </c:pt>
                <c:pt idx="70">
                  <c:v>0.90549999999999997</c:v>
                </c:pt>
                <c:pt idx="71">
                  <c:v>0.90139999999999998</c:v>
                </c:pt>
                <c:pt idx="72">
                  <c:v>0.90059999999999996</c:v>
                </c:pt>
                <c:pt idx="73">
                  <c:v>0.90980000000000005</c:v>
                </c:pt>
                <c:pt idx="74">
                  <c:v>0.90300000000000002</c:v>
                </c:pt>
                <c:pt idx="75">
                  <c:v>0.9032</c:v>
                </c:pt>
                <c:pt idx="76">
                  <c:v>0.89739999999999998</c:v>
                </c:pt>
                <c:pt idx="77">
                  <c:v>0.90369999999999995</c:v>
                </c:pt>
                <c:pt idx="78">
                  <c:v>0.90600000000000003</c:v>
                </c:pt>
                <c:pt idx="79">
                  <c:v>0.90229999999999999</c:v>
                </c:pt>
                <c:pt idx="80">
                  <c:v>0.89649999999999996</c:v>
                </c:pt>
                <c:pt idx="81">
                  <c:v>0.90259999999999996</c:v>
                </c:pt>
                <c:pt idx="82">
                  <c:v>0.90459999999999996</c:v>
                </c:pt>
                <c:pt idx="83">
                  <c:v>0.89529999999999998</c:v>
                </c:pt>
                <c:pt idx="84">
                  <c:v>0.90280000000000005</c:v>
                </c:pt>
                <c:pt idx="85">
                  <c:v>0.89500000000000002</c:v>
                </c:pt>
                <c:pt idx="86">
                  <c:v>0.8891</c:v>
                </c:pt>
                <c:pt idx="87">
                  <c:v>0.89959999999999996</c:v>
                </c:pt>
                <c:pt idx="88">
                  <c:v>0.8992</c:v>
                </c:pt>
                <c:pt idx="89">
                  <c:v>0.89700000000000002</c:v>
                </c:pt>
                <c:pt idx="90">
                  <c:v>0.89090000000000003</c:v>
                </c:pt>
                <c:pt idx="91">
                  <c:v>0.89180000000000004</c:v>
                </c:pt>
                <c:pt idx="92">
                  <c:v>0.88980000000000004</c:v>
                </c:pt>
                <c:pt idx="93">
                  <c:v>0.89810000000000001</c:v>
                </c:pt>
                <c:pt idx="94">
                  <c:v>0.89370000000000005</c:v>
                </c:pt>
                <c:pt idx="95">
                  <c:v>0.88580000000000003</c:v>
                </c:pt>
                <c:pt idx="96">
                  <c:v>0.88719999999999999</c:v>
                </c:pt>
                <c:pt idx="97">
                  <c:v>0.89580000000000004</c:v>
                </c:pt>
                <c:pt idx="98">
                  <c:v>0.88060000000000005</c:v>
                </c:pt>
                <c:pt idx="99">
                  <c:v>0.8972</c:v>
                </c:pt>
                <c:pt idx="100">
                  <c:v>0.89849999999999997</c:v>
                </c:pt>
                <c:pt idx="101">
                  <c:v>0.88690000000000002</c:v>
                </c:pt>
                <c:pt idx="102">
                  <c:v>0.89180000000000004</c:v>
                </c:pt>
                <c:pt idx="103">
                  <c:v>0.88429999999999997</c:v>
                </c:pt>
                <c:pt idx="104">
                  <c:v>0.88480000000000003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3-4031-812F-3B0195D9DED0}"/>
            </c:ext>
          </c:extLst>
        </c:ser>
        <c:ser>
          <c:idx val="1"/>
          <c:order val="1"/>
          <c:tx>
            <c:strRef>
              <c:f>'Daily Metrics'!$M$12</c:f>
              <c:strCache>
                <c:ptCount val="1"/>
                <c:pt idx="0">
                  <c:v>DPD 1-30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Metrics'!$M$13:$M$117</c:f>
              <c:numCache>
                <c:formatCode>0.00%</c:formatCode>
                <c:ptCount val="105"/>
                <c:pt idx="0">
                  <c:v>1.9599999999999999E-2</c:v>
                </c:pt>
                <c:pt idx="1">
                  <c:v>1.8200000000000001E-2</c:v>
                </c:pt>
                <c:pt idx="2">
                  <c:v>2.0199999999999999E-2</c:v>
                </c:pt>
                <c:pt idx="3">
                  <c:v>1.78E-2</c:v>
                </c:pt>
                <c:pt idx="4">
                  <c:v>2.0400000000000001E-2</c:v>
                </c:pt>
                <c:pt idx="5">
                  <c:v>1.83E-2</c:v>
                </c:pt>
                <c:pt idx="6">
                  <c:v>2.69E-2</c:v>
                </c:pt>
                <c:pt idx="7">
                  <c:v>2.3E-2</c:v>
                </c:pt>
                <c:pt idx="8">
                  <c:v>2.6200000000000001E-2</c:v>
                </c:pt>
                <c:pt idx="9">
                  <c:v>2.3E-2</c:v>
                </c:pt>
                <c:pt idx="10">
                  <c:v>2.6200000000000001E-2</c:v>
                </c:pt>
                <c:pt idx="11">
                  <c:v>1.9199999999999998E-2</c:v>
                </c:pt>
                <c:pt idx="12">
                  <c:v>2.6100000000000002E-2</c:v>
                </c:pt>
                <c:pt idx="13">
                  <c:v>2.1000000000000001E-2</c:v>
                </c:pt>
                <c:pt idx="14">
                  <c:v>2.2100000000000002E-2</c:v>
                </c:pt>
                <c:pt idx="15">
                  <c:v>2.4500000000000001E-2</c:v>
                </c:pt>
                <c:pt idx="16">
                  <c:v>2.35E-2</c:v>
                </c:pt>
                <c:pt idx="17">
                  <c:v>2.2599999999999999E-2</c:v>
                </c:pt>
                <c:pt idx="18">
                  <c:v>2.9100000000000001E-2</c:v>
                </c:pt>
                <c:pt idx="19">
                  <c:v>2.7099999999999999E-2</c:v>
                </c:pt>
                <c:pt idx="20">
                  <c:v>2.7799999999999998E-2</c:v>
                </c:pt>
                <c:pt idx="21">
                  <c:v>2.8500000000000001E-2</c:v>
                </c:pt>
                <c:pt idx="22">
                  <c:v>2.7300000000000001E-2</c:v>
                </c:pt>
                <c:pt idx="23">
                  <c:v>2.5600000000000001E-2</c:v>
                </c:pt>
                <c:pt idx="24">
                  <c:v>3.1800000000000002E-2</c:v>
                </c:pt>
                <c:pt idx="25">
                  <c:v>2.2800000000000001E-2</c:v>
                </c:pt>
                <c:pt idx="26">
                  <c:v>2.2499999999999999E-2</c:v>
                </c:pt>
                <c:pt idx="27">
                  <c:v>2.92E-2</c:v>
                </c:pt>
                <c:pt idx="28">
                  <c:v>2.53E-2</c:v>
                </c:pt>
                <c:pt idx="29">
                  <c:v>3.0099999999999998E-2</c:v>
                </c:pt>
                <c:pt idx="30">
                  <c:v>2.69E-2</c:v>
                </c:pt>
                <c:pt idx="31">
                  <c:v>2.92E-2</c:v>
                </c:pt>
                <c:pt idx="32">
                  <c:v>2.9899999999999999E-2</c:v>
                </c:pt>
                <c:pt idx="33">
                  <c:v>2.75E-2</c:v>
                </c:pt>
                <c:pt idx="34">
                  <c:v>3.0800000000000001E-2</c:v>
                </c:pt>
                <c:pt idx="35">
                  <c:v>3.3799999999999997E-2</c:v>
                </c:pt>
                <c:pt idx="36">
                  <c:v>3.0099999999999998E-2</c:v>
                </c:pt>
                <c:pt idx="37">
                  <c:v>2.5700000000000001E-2</c:v>
                </c:pt>
                <c:pt idx="38">
                  <c:v>2.4299999999999999E-2</c:v>
                </c:pt>
                <c:pt idx="39">
                  <c:v>2.7400000000000001E-2</c:v>
                </c:pt>
                <c:pt idx="40">
                  <c:v>3.3500000000000002E-2</c:v>
                </c:pt>
                <c:pt idx="41">
                  <c:v>3.5400000000000001E-2</c:v>
                </c:pt>
                <c:pt idx="42">
                  <c:v>3.0700000000000002E-2</c:v>
                </c:pt>
                <c:pt idx="43">
                  <c:v>3.5499999999999997E-2</c:v>
                </c:pt>
                <c:pt idx="44">
                  <c:v>3.5400000000000001E-2</c:v>
                </c:pt>
                <c:pt idx="45">
                  <c:v>2.6599999999999999E-2</c:v>
                </c:pt>
                <c:pt idx="46">
                  <c:v>3.0300000000000001E-2</c:v>
                </c:pt>
                <c:pt idx="47">
                  <c:v>3.49E-2</c:v>
                </c:pt>
                <c:pt idx="48">
                  <c:v>2.7300000000000001E-2</c:v>
                </c:pt>
                <c:pt idx="49">
                  <c:v>3.0099999999999998E-2</c:v>
                </c:pt>
                <c:pt idx="50">
                  <c:v>3.0099999999999998E-2</c:v>
                </c:pt>
                <c:pt idx="51">
                  <c:v>3.0800000000000001E-2</c:v>
                </c:pt>
                <c:pt idx="52">
                  <c:v>0.03</c:v>
                </c:pt>
                <c:pt idx="53">
                  <c:v>3.1E-2</c:v>
                </c:pt>
                <c:pt idx="54">
                  <c:v>3.2800000000000003E-2</c:v>
                </c:pt>
                <c:pt idx="55">
                  <c:v>0.03</c:v>
                </c:pt>
                <c:pt idx="56">
                  <c:v>2.87E-2</c:v>
                </c:pt>
                <c:pt idx="57">
                  <c:v>3.4500000000000003E-2</c:v>
                </c:pt>
                <c:pt idx="58">
                  <c:v>3.61E-2</c:v>
                </c:pt>
                <c:pt idx="59">
                  <c:v>0.03</c:v>
                </c:pt>
                <c:pt idx="60">
                  <c:v>3.1699999999999999E-2</c:v>
                </c:pt>
                <c:pt idx="61">
                  <c:v>3.2099999999999997E-2</c:v>
                </c:pt>
                <c:pt idx="62">
                  <c:v>3.4500000000000003E-2</c:v>
                </c:pt>
                <c:pt idx="63">
                  <c:v>3.2000000000000001E-2</c:v>
                </c:pt>
                <c:pt idx="64">
                  <c:v>3.3599999999999998E-2</c:v>
                </c:pt>
                <c:pt idx="65">
                  <c:v>4.1399999999999999E-2</c:v>
                </c:pt>
                <c:pt idx="66">
                  <c:v>3.7699999999999997E-2</c:v>
                </c:pt>
                <c:pt idx="67">
                  <c:v>3.5999999999999997E-2</c:v>
                </c:pt>
                <c:pt idx="68">
                  <c:v>3.1800000000000002E-2</c:v>
                </c:pt>
                <c:pt idx="69">
                  <c:v>4.0599999999999997E-2</c:v>
                </c:pt>
                <c:pt idx="70">
                  <c:v>3.8300000000000001E-2</c:v>
                </c:pt>
                <c:pt idx="71">
                  <c:v>4.0500000000000001E-2</c:v>
                </c:pt>
                <c:pt idx="72">
                  <c:v>4.2999999999999997E-2</c:v>
                </c:pt>
                <c:pt idx="73">
                  <c:v>3.5700000000000003E-2</c:v>
                </c:pt>
                <c:pt idx="74">
                  <c:v>4.24E-2</c:v>
                </c:pt>
                <c:pt idx="75">
                  <c:v>3.4500000000000003E-2</c:v>
                </c:pt>
                <c:pt idx="76">
                  <c:v>4.2099999999999999E-2</c:v>
                </c:pt>
                <c:pt idx="77">
                  <c:v>3.8600000000000002E-2</c:v>
                </c:pt>
                <c:pt idx="78">
                  <c:v>3.44E-2</c:v>
                </c:pt>
                <c:pt idx="79">
                  <c:v>3.6700000000000003E-2</c:v>
                </c:pt>
                <c:pt idx="80">
                  <c:v>4.3099999999999999E-2</c:v>
                </c:pt>
                <c:pt idx="81">
                  <c:v>3.5999999999999997E-2</c:v>
                </c:pt>
                <c:pt idx="82">
                  <c:v>3.5900000000000001E-2</c:v>
                </c:pt>
                <c:pt idx="83">
                  <c:v>3.9199999999999999E-2</c:v>
                </c:pt>
                <c:pt idx="84">
                  <c:v>3.56E-2</c:v>
                </c:pt>
                <c:pt idx="85">
                  <c:v>4.0300000000000002E-2</c:v>
                </c:pt>
                <c:pt idx="86">
                  <c:v>4.5199999999999997E-2</c:v>
                </c:pt>
                <c:pt idx="87">
                  <c:v>3.7499999999999999E-2</c:v>
                </c:pt>
                <c:pt idx="88">
                  <c:v>3.5200000000000002E-2</c:v>
                </c:pt>
                <c:pt idx="89">
                  <c:v>4.0300000000000002E-2</c:v>
                </c:pt>
                <c:pt idx="90">
                  <c:v>4.3200000000000002E-2</c:v>
                </c:pt>
                <c:pt idx="91">
                  <c:v>4.4200000000000003E-2</c:v>
                </c:pt>
                <c:pt idx="92">
                  <c:v>4.5400000000000003E-2</c:v>
                </c:pt>
                <c:pt idx="93">
                  <c:v>4.02E-2</c:v>
                </c:pt>
                <c:pt idx="94">
                  <c:v>3.9100000000000003E-2</c:v>
                </c:pt>
                <c:pt idx="95">
                  <c:v>4.5100000000000001E-2</c:v>
                </c:pt>
                <c:pt idx="96">
                  <c:v>4.4299999999999999E-2</c:v>
                </c:pt>
                <c:pt idx="97">
                  <c:v>3.9300000000000002E-2</c:v>
                </c:pt>
                <c:pt idx="98">
                  <c:v>4.8000000000000001E-2</c:v>
                </c:pt>
                <c:pt idx="99">
                  <c:v>3.8600000000000002E-2</c:v>
                </c:pt>
                <c:pt idx="100">
                  <c:v>3.7699999999999997E-2</c:v>
                </c:pt>
                <c:pt idx="101">
                  <c:v>4.1099999999999998E-2</c:v>
                </c:pt>
                <c:pt idx="102">
                  <c:v>3.9399999999999998E-2</c:v>
                </c:pt>
                <c:pt idx="103">
                  <c:v>4.8500000000000001E-2</c:v>
                </c:pt>
                <c:pt idx="104">
                  <c:v>4.3799999999999999E-2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3-4031-812F-3B0195D9DED0}"/>
            </c:ext>
          </c:extLst>
        </c:ser>
        <c:ser>
          <c:idx val="2"/>
          <c:order val="2"/>
          <c:tx>
            <c:strRef>
              <c:f>'Daily Metrics'!$N$12</c:f>
              <c:strCache>
                <c:ptCount val="1"/>
                <c:pt idx="0">
                  <c:v>DPD 31-60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Metrics'!$N$13:$N$117</c:f>
              <c:numCache>
                <c:formatCode>0.00%</c:formatCode>
                <c:ptCount val="105"/>
                <c:pt idx="0">
                  <c:v>1.95E-2</c:v>
                </c:pt>
                <c:pt idx="1">
                  <c:v>1.32E-2</c:v>
                </c:pt>
                <c:pt idx="2">
                  <c:v>1.89E-2</c:v>
                </c:pt>
                <c:pt idx="3">
                  <c:v>1.77E-2</c:v>
                </c:pt>
                <c:pt idx="4">
                  <c:v>1.7500000000000002E-2</c:v>
                </c:pt>
                <c:pt idx="5">
                  <c:v>1.9599999999999999E-2</c:v>
                </c:pt>
                <c:pt idx="6">
                  <c:v>1.4800000000000001E-2</c:v>
                </c:pt>
                <c:pt idx="7">
                  <c:v>1.6400000000000001E-2</c:v>
                </c:pt>
                <c:pt idx="8">
                  <c:v>1.4999999999999999E-2</c:v>
                </c:pt>
                <c:pt idx="9">
                  <c:v>2.1000000000000001E-2</c:v>
                </c:pt>
                <c:pt idx="10">
                  <c:v>1.67E-2</c:v>
                </c:pt>
                <c:pt idx="11">
                  <c:v>1.8100000000000002E-2</c:v>
                </c:pt>
                <c:pt idx="12">
                  <c:v>1.8499999999999999E-2</c:v>
                </c:pt>
                <c:pt idx="13">
                  <c:v>1.9599999999999999E-2</c:v>
                </c:pt>
                <c:pt idx="14">
                  <c:v>1.95E-2</c:v>
                </c:pt>
                <c:pt idx="15">
                  <c:v>1.6500000000000001E-2</c:v>
                </c:pt>
                <c:pt idx="16">
                  <c:v>2.1399999999999999E-2</c:v>
                </c:pt>
                <c:pt idx="17">
                  <c:v>2.1899999999999999E-2</c:v>
                </c:pt>
                <c:pt idx="18">
                  <c:v>1.61E-2</c:v>
                </c:pt>
                <c:pt idx="19">
                  <c:v>2.0400000000000001E-2</c:v>
                </c:pt>
                <c:pt idx="20">
                  <c:v>0.02</c:v>
                </c:pt>
                <c:pt idx="21">
                  <c:v>2.0899999999999998E-2</c:v>
                </c:pt>
                <c:pt idx="22">
                  <c:v>1.9E-2</c:v>
                </c:pt>
                <c:pt idx="23">
                  <c:v>2.06E-2</c:v>
                </c:pt>
                <c:pt idx="24">
                  <c:v>2.1899999999999999E-2</c:v>
                </c:pt>
                <c:pt idx="25">
                  <c:v>2.1299999999999999E-2</c:v>
                </c:pt>
                <c:pt idx="26">
                  <c:v>2.12E-2</c:v>
                </c:pt>
                <c:pt idx="27">
                  <c:v>2.41E-2</c:v>
                </c:pt>
                <c:pt idx="28">
                  <c:v>2.1899999999999999E-2</c:v>
                </c:pt>
                <c:pt idx="29">
                  <c:v>2.0899999999999998E-2</c:v>
                </c:pt>
                <c:pt idx="30">
                  <c:v>2.2200000000000001E-2</c:v>
                </c:pt>
                <c:pt idx="31">
                  <c:v>1.8100000000000002E-2</c:v>
                </c:pt>
                <c:pt idx="32">
                  <c:v>1.84E-2</c:v>
                </c:pt>
                <c:pt idx="33">
                  <c:v>2.3900000000000001E-2</c:v>
                </c:pt>
                <c:pt idx="34">
                  <c:v>2.3E-2</c:v>
                </c:pt>
                <c:pt idx="35">
                  <c:v>1.89E-2</c:v>
                </c:pt>
                <c:pt idx="36">
                  <c:v>2.4199999999999999E-2</c:v>
                </c:pt>
                <c:pt idx="37">
                  <c:v>2.4899999999999999E-2</c:v>
                </c:pt>
                <c:pt idx="38">
                  <c:v>2.18E-2</c:v>
                </c:pt>
                <c:pt idx="39">
                  <c:v>2.4799999999999999E-2</c:v>
                </c:pt>
                <c:pt idx="40">
                  <c:v>2.4400000000000002E-2</c:v>
                </c:pt>
                <c:pt idx="41">
                  <c:v>1.9800000000000002E-2</c:v>
                </c:pt>
                <c:pt idx="42">
                  <c:v>2.1999999999999999E-2</c:v>
                </c:pt>
                <c:pt idx="43">
                  <c:v>2.5000000000000001E-2</c:v>
                </c:pt>
                <c:pt idx="44">
                  <c:v>2.3900000000000001E-2</c:v>
                </c:pt>
                <c:pt idx="45">
                  <c:v>2.3800000000000002E-2</c:v>
                </c:pt>
                <c:pt idx="46">
                  <c:v>2.1600000000000001E-2</c:v>
                </c:pt>
                <c:pt idx="47">
                  <c:v>2.1399999999999999E-2</c:v>
                </c:pt>
                <c:pt idx="48">
                  <c:v>2.1299999999999999E-2</c:v>
                </c:pt>
                <c:pt idx="49">
                  <c:v>2.6100000000000002E-2</c:v>
                </c:pt>
                <c:pt idx="50">
                  <c:v>2.5600000000000001E-2</c:v>
                </c:pt>
                <c:pt idx="51">
                  <c:v>2.2200000000000001E-2</c:v>
                </c:pt>
                <c:pt idx="52">
                  <c:v>2.52E-2</c:v>
                </c:pt>
                <c:pt idx="53">
                  <c:v>2.8000000000000001E-2</c:v>
                </c:pt>
                <c:pt idx="54">
                  <c:v>2.58E-2</c:v>
                </c:pt>
                <c:pt idx="55">
                  <c:v>2.69E-2</c:v>
                </c:pt>
                <c:pt idx="56">
                  <c:v>2.6200000000000001E-2</c:v>
                </c:pt>
                <c:pt idx="57">
                  <c:v>2.8199999999999999E-2</c:v>
                </c:pt>
                <c:pt idx="58">
                  <c:v>2.7199999999999998E-2</c:v>
                </c:pt>
                <c:pt idx="59">
                  <c:v>2.75E-2</c:v>
                </c:pt>
                <c:pt idx="60">
                  <c:v>2.6200000000000001E-2</c:v>
                </c:pt>
                <c:pt idx="61">
                  <c:v>2.3599999999999999E-2</c:v>
                </c:pt>
                <c:pt idx="62">
                  <c:v>2.47E-2</c:v>
                </c:pt>
                <c:pt idx="63">
                  <c:v>2.8000000000000001E-2</c:v>
                </c:pt>
                <c:pt idx="64">
                  <c:v>2.41E-2</c:v>
                </c:pt>
                <c:pt idx="65">
                  <c:v>2.5999999999999999E-2</c:v>
                </c:pt>
                <c:pt idx="66">
                  <c:v>2.93E-2</c:v>
                </c:pt>
                <c:pt idx="67">
                  <c:v>2.4799999999999999E-2</c:v>
                </c:pt>
                <c:pt idx="68">
                  <c:v>2.9899999999999999E-2</c:v>
                </c:pt>
                <c:pt idx="69">
                  <c:v>2.46E-2</c:v>
                </c:pt>
                <c:pt idx="70">
                  <c:v>2.4799999999999999E-2</c:v>
                </c:pt>
                <c:pt idx="71">
                  <c:v>3.0599999999999999E-2</c:v>
                </c:pt>
                <c:pt idx="72">
                  <c:v>2.7E-2</c:v>
                </c:pt>
                <c:pt idx="73">
                  <c:v>2.47E-2</c:v>
                </c:pt>
                <c:pt idx="74">
                  <c:v>2.7300000000000001E-2</c:v>
                </c:pt>
                <c:pt idx="75">
                  <c:v>3.0099999999999998E-2</c:v>
                </c:pt>
                <c:pt idx="76">
                  <c:v>2.64E-2</c:v>
                </c:pt>
                <c:pt idx="77">
                  <c:v>2.7099999999999999E-2</c:v>
                </c:pt>
                <c:pt idx="78">
                  <c:v>3.0099999999999998E-2</c:v>
                </c:pt>
                <c:pt idx="79">
                  <c:v>3.1899999999999998E-2</c:v>
                </c:pt>
                <c:pt idx="80">
                  <c:v>3.1099999999999999E-2</c:v>
                </c:pt>
                <c:pt idx="81">
                  <c:v>2.8899999999999999E-2</c:v>
                </c:pt>
                <c:pt idx="82">
                  <c:v>2.93E-2</c:v>
                </c:pt>
                <c:pt idx="83">
                  <c:v>3.0800000000000001E-2</c:v>
                </c:pt>
                <c:pt idx="84">
                  <c:v>3.1399999999999997E-2</c:v>
                </c:pt>
                <c:pt idx="85">
                  <c:v>3.0800000000000001E-2</c:v>
                </c:pt>
                <c:pt idx="86">
                  <c:v>3.3300000000000003E-2</c:v>
                </c:pt>
                <c:pt idx="87">
                  <c:v>2.9399999999999999E-2</c:v>
                </c:pt>
                <c:pt idx="88">
                  <c:v>3.2099999999999997E-2</c:v>
                </c:pt>
                <c:pt idx="89">
                  <c:v>3.04E-2</c:v>
                </c:pt>
                <c:pt idx="90">
                  <c:v>0.03</c:v>
                </c:pt>
                <c:pt idx="91">
                  <c:v>3.0099999999999998E-2</c:v>
                </c:pt>
                <c:pt idx="92">
                  <c:v>2.98E-2</c:v>
                </c:pt>
                <c:pt idx="93">
                  <c:v>2.9700000000000001E-2</c:v>
                </c:pt>
                <c:pt idx="94">
                  <c:v>3.2099999999999997E-2</c:v>
                </c:pt>
                <c:pt idx="95">
                  <c:v>3.2500000000000001E-2</c:v>
                </c:pt>
                <c:pt idx="96">
                  <c:v>3.2099999999999997E-2</c:v>
                </c:pt>
                <c:pt idx="97">
                  <c:v>3.0499999999999999E-2</c:v>
                </c:pt>
                <c:pt idx="98">
                  <c:v>3.2899999999999999E-2</c:v>
                </c:pt>
                <c:pt idx="99">
                  <c:v>2.9600000000000001E-2</c:v>
                </c:pt>
                <c:pt idx="100">
                  <c:v>2.9499999999999998E-2</c:v>
                </c:pt>
                <c:pt idx="101">
                  <c:v>3.6700000000000003E-2</c:v>
                </c:pt>
                <c:pt idx="102">
                  <c:v>3.3000000000000002E-2</c:v>
                </c:pt>
                <c:pt idx="103">
                  <c:v>3.32E-2</c:v>
                </c:pt>
                <c:pt idx="104">
                  <c:v>3.32E-2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3-4031-812F-3B0195D9DED0}"/>
            </c:ext>
          </c:extLst>
        </c:ser>
        <c:ser>
          <c:idx val="3"/>
          <c:order val="3"/>
          <c:tx>
            <c:strRef>
              <c:f>'Daily Metrics'!$O$12</c:f>
              <c:strCache>
                <c:ptCount val="1"/>
                <c:pt idx="0">
                  <c:v>DPD 61-90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Metrics'!$O$13:$O$117</c:f>
              <c:numCache>
                <c:formatCode>0.00%</c:formatCode>
                <c:ptCount val="105"/>
                <c:pt idx="0">
                  <c:v>9.1000000000000004E-3</c:v>
                </c:pt>
                <c:pt idx="1">
                  <c:v>8.3999999999999995E-3</c:v>
                </c:pt>
                <c:pt idx="2">
                  <c:v>7.9000000000000008E-3</c:v>
                </c:pt>
                <c:pt idx="3">
                  <c:v>7.1000000000000004E-3</c:v>
                </c:pt>
                <c:pt idx="4">
                  <c:v>1.1299999999999999E-2</c:v>
                </c:pt>
                <c:pt idx="5">
                  <c:v>1.0500000000000001E-2</c:v>
                </c:pt>
                <c:pt idx="6">
                  <c:v>7.7000000000000002E-3</c:v>
                </c:pt>
                <c:pt idx="7">
                  <c:v>8.6E-3</c:v>
                </c:pt>
                <c:pt idx="8">
                  <c:v>8.5000000000000006E-3</c:v>
                </c:pt>
                <c:pt idx="9">
                  <c:v>8.6999999999999994E-3</c:v>
                </c:pt>
                <c:pt idx="10">
                  <c:v>9.1000000000000004E-3</c:v>
                </c:pt>
                <c:pt idx="11">
                  <c:v>9.7999999999999997E-3</c:v>
                </c:pt>
                <c:pt idx="12">
                  <c:v>1.01E-2</c:v>
                </c:pt>
                <c:pt idx="13">
                  <c:v>8.3999999999999995E-3</c:v>
                </c:pt>
                <c:pt idx="14">
                  <c:v>1.0699999999999999E-2</c:v>
                </c:pt>
                <c:pt idx="15">
                  <c:v>1.0999999999999999E-2</c:v>
                </c:pt>
                <c:pt idx="16">
                  <c:v>1.18E-2</c:v>
                </c:pt>
                <c:pt idx="17">
                  <c:v>1.0999999999999999E-2</c:v>
                </c:pt>
                <c:pt idx="18">
                  <c:v>8.6999999999999994E-3</c:v>
                </c:pt>
                <c:pt idx="19">
                  <c:v>9.7999999999999997E-3</c:v>
                </c:pt>
                <c:pt idx="20">
                  <c:v>1.0699999999999999E-2</c:v>
                </c:pt>
                <c:pt idx="21">
                  <c:v>1.11E-2</c:v>
                </c:pt>
                <c:pt idx="22">
                  <c:v>1.2800000000000001E-2</c:v>
                </c:pt>
                <c:pt idx="23">
                  <c:v>1.29E-2</c:v>
                </c:pt>
                <c:pt idx="24">
                  <c:v>1.3100000000000001E-2</c:v>
                </c:pt>
                <c:pt idx="25">
                  <c:v>9.4999999999999998E-3</c:v>
                </c:pt>
                <c:pt idx="26">
                  <c:v>1.2999999999999999E-2</c:v>
                </c:pt>
                <c:pt idx="27">
                  <c:v>1.24E-2</c:v>
                </c:pt>
                <c:pt idx="28">
                  <c:v>1.0699999999999999E-2</c:v>
                </c:pt>
                <c:pt idx="29">
                  <c:v>0.01</c:v>
                </c:pt>
                <c:pt idx="30">
                  <c:v>1.21E-2</c:v>
                </c:pt>
                <c:pt idx="31">
                  <c:v>1.2500000000000001E-2</c:v>
                </c:pt>
                <c:pt idx="32">
                  <c:v>1.11E-2</c:v>
                </c:pt>
                <c:pt idx="33">
                  <c:v>1.11E-2</c:v>
                </c:pt>
                <c:pt idx="34">
                  <c:v>1.21E-2</c:v>
                </c:pt>
                <c:pt idx="35">
                  <c:v>1.3299999999999999E-2</c:v>
                </c:pt>
                <c:pt idx="36">
                  <c:v>1.12E-2</c:v>
                </c:pt>
                <c:pt idx="37">
                  <c:v>1.3299999999999999E-2</c:v>
                </c:pt>
                <c:pt idx="38">
                  <c:v>1.37E-2</c:v>
                </c:pt>
                <c:pt idx="39">
                  <c:v>1.47E-2</c:v>
                </c:pt>
                <c:pt idx="40">
                  <c:v>1.3100000000000001E-2</c:v>
                </c:pt>
                <c:pt idx="41">
                  <c:v>1.41E-2</c:v>
                </c:pt>
                <c:pt idx="42">
                  <c:v>1.15E-2</c:v>
                </c:pt>
                <c:pt idx="43">
                  <c:v>1.4200000000000001E-2</c:v>
                </c:pt>
                <c:pt idx="44">
                  <c:v>1.37E-2</c:v>
                </c:pt>
                <c:pt idx="45">
                  <c:v>1.21E-2</c:v>
                </c:pt>
                <c:pt idx="46">
                  <c:v>1.47E-2</c:v>
                </c:pt>
                <c:pt idx="47">
                  <c:v>1.41E-2</c:v>
                </c:pt>
                <c:pt idx="48">
                  <c:v>1.47E-2</c:v>
                </c:pt>
                <c:pt idx="49">
                  <c:v>1.44E-2</c:v>
                </c:pt>
                <c:pt idx="50">
                  <c:v>1.3299999999999999E-2</c:v>
                </c:pt>
                <c:pt idx="51">
                  <c:v>1.2999999999999999E-2</c:v>
                </c:pt>
                <c:pt idx="52">
                  <c:v>1.6400000000000001E-2</c:v>
                </c:pt>
                <c:pt idx="53">
                  <c:v>1.2500000000000001E-2</c:v>
                </c:pt>
                <c:pt idx="54">
                  <c:v>1.41E-2</c:v>
                </c:pt>
                <c:pt idx="55">
                  <c:v>1.3899999999999999E-2</c:v>
                </c:pt>
                <c:pt idx="56">
                  <c:v>1.29E-2</c:v>
                </c:pt>
                <c:pt idx="57">
                  <c:v>1.4500000000000001E-2</c:v>
                </c:pt>
                <c:pt idx="58">
                  <c:v>1.4800000000000001E-2</c:v>
                </c:pt>
                <c:pt idx="59">
                  <c:v>1.5800000000000002E-2</c:v>
                </c:pt>
                <c:pt idx="60">
                  <c:v>1.41E-2</c:v>
                </c:pt>
                <c:pt idx="61">
                  <c:v>1.46E-2</c:v>
                </c:pt>
                <c:pt idx="62">
                  <c:v>1.5299999999999999E-2</c:v>
                </c:pt>
                <c:pt idx="63">
                  <c:v>1.7299999999999999E-2</c:v>
                </c:pt>
                <c:pt idx="64">
                  <c:v>1.6E-2</c:v>
                </c:pt>
                <c:pt idx="65">
                  <c:v>1.37E-2</c:v>
                </c:pt>
                <c:pt idx="66">
                  <c:v>1.6799999999999999E-2</c:v>
                </c:pt>
                <c:pt idx="67">
                  <c:v>1.44E-2</c:v>
                </c:pt>
                <c:pt idx="68">
                  <c:v>1.66E-2</c:v>
                </c:pt>
                <c:pt idx="69">
                  <c:v>1.72E-2</c:v>
                </c:pt>
                <c:pt idx="70">
                  <c:v>1.8100000000000002E-2</c:v>
                </c:pt>
                <c:pt idx="71">
                  <c:v>1.5599999999999999E-2</c:v>
                </c:pt>
                <c:pt idx="72">
                  <c:v>1.52E-2</c:v>
                </c:pt>
                <c:pt idx="73">
                  <c:v>1.7100000000000001E-2</c:v>
                </c:pt>
                <c:pt idx="74">
                  <c:v>1.4999999999999999E-2</c:v>
                </c:pt>
                <c:pt idx="75">
                  <c:v>1.77E-2</c:v>
                </c:pt>
                <c:pt idx="76">
                  <c:v>1.8700000000000001E-2</c:v>
                </c:pt>
                <c:pt idx="77">
                  <c:v>1.83E-2</c:v>
                </c:pt>
                <c:pt idx="78">
                  <c:v>1.6199999999999999E-2</c:v>
                </c:pt>
                <c:pt idx="79">
                  <c:v>1.66E-2</c:v>
                </c:pt>
                <c:pt idx="80">
                  <c:v>1.7100000000000001E-2</c:v>
                </c:pt>
                <c:pt idx="81">
                  <c:v>1.6299999999999999E-2</c:v>
                </c:pt>
                <c:pt idx="82">
                  <c:v>1.54E-2</c:v>
                </c:pt>
                <c:pt idx="83">
                  <c:v>1.9099999999999999E-2</c:v>
                </c:pt>
                <c:pt idx="84">
                  <c:v>1.5900000000000001E-2</c:v>
                </c:pt>
                <c:pt idx="85">
                  <c:v>1.9E-2</c:v>
                </c:pt>
                <c:pt idx="86">
                  <c:v>1.67E-2</c:v>
                </c:pt>
                <c:pt idx="87">
                  <c:v>1.7000000000000001E-2</c:v>
                </c:pt>
                <c:pt idx="88">
                  <c:v>1.7999999999999999E-2</c:v>
                </c:pt>
                <c:pt idx="89">
                  <c:v>1.67E-2</c:v>
                </c:pt>
                <c:pt idx="90">
                  <c:v>2.0199999999999999E-2</c:v>
                </c:pt>
                <c:pt idx="91">
                  <c:v>1.7999999999999999E-2</c:v>
                </c:pt>
                <c:pt idx="92">
                  <c:v>1.9699999999999999E-2</c:v>
                </c:pt>
                <c:pt idx="93">
                  <c:v>1.67E-2</c:v>
                </c:pt>
                <c:pt idx="94">
                  <c:v>2.12E-2</c:v>
                </c:pt>
                <c:pt idx="95">
                  <c:v>1.9800000000000002E-2</c:v>
                </c:pt>
                <c:pt idx="96">
                  <c:v>1.9599999999999999E-2</c:v>
                </c:pt>
                <c:pt idx="97">
                  <c:v>2.01E-2</c:v>
                </c:pt>
                <c:pt idx="98">
                  <c:v>2.0799999999999999E-2</c:v>
                </c:pt>
                <c:pt idx="99">
                  <c:v>1.7600000000000001E-2</c:v>
                </c:pt>
                <c:pt idx="100">
                  <c:v>1.8700000000000001E-2</c:v>
                </c:pt>
                <c:pt idx="101">
                  <c:v>2.01E-2</c:v>
                </c:pt>
                <c:pt idx="102">
                  <c:v>1.8800000000000001E-2</c:v>
                </c:pt>
                <c:pt idx="103">
                  <c:v>1.9199999999999998E-2</c:v>
                </c:pt>
                <c:pt idx="104">
                  <c:v>2.1299999999999999E-2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D3-4031-812F-3B0195D9DED0}"/>
            </c:ext>
          </c:extLst>
        </c:ser>
        <c:ser>
          <c:idx val="4"/>
          <c:order val="4"/>
          <c:tx>
            <c:strRef>
              <c:f>'Daily Metrics'!$P$12</c:f>
              <c:strCache>
                <c:ptCount val="1"/>
                <c:pt idx="0">
                  <c:v>DPD 90+</c:v>
                </c:pt>
              </c:strCache>
            </c:strRef>
          </c:tx>
          <c:spPr>
            <a:solidFill>
              <a:srgbClr val="7030A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Metrics'!$P$13:$P$117</c:f>
              <c:numCache>
                <c:formatCode>0.00%</c:formatCode>
                <c:ptCount val="105"/>
                <c:pt idx="0">
                  <c:v>5.5999999999999999E-3</c:v>
                </c:pt>
                <c:pt idx="1">
                  <c:v>5.4999999999999997E-3</c:v>
                </c:pt>
                <c:pt idx="2">
                  <c:v>7.4999999999999997E-3</c:v>
                </c:pt>
                <c:pt idx="3">
                  <c:v>4.1999999999999997E-3</c:v>
                </c:pt>
                <c:pt idx="4">
                  <c:v>5.7999999999999996E-3</c:v>
                </c:pt>
                <c:pt idx="5">
                  <c:v>6.7000000000000002E-3</c:v>
                </c:pt>
                <c:pt idx="6">
                  <c:v>7.1999999999999998E-3</c:v>
                </c:pt>
                <c:pt idx="7">
                  <c:v>4.3E-3</c:v>
                </c:pt>
                <c:pt idx="8">
                  <c:v>7.6E-3</c:v>
                </c:pt>
                <c:pt idx="9">
                  <c:v>8.2000000000000007E-3</c:v>
                </c:pt>
                <c:pt idx="10">
                  <c:v>6.7000000000000002E-3</c:v>
                </c:pt>
                <c:pt idx="11">
                  <c:v>7.4000000000000003E-3</c:v>
                </c:pt>
                <c:pt idx="12">
                  <c:v>8.0999999999999996E-3</c:v>
                </c:pt>
                <c:pt idx="13">
                  <c:v>5.4000000000000003E-3</c:v>
                </c:pt>
                <c:pt idx="14">
                  <c:v>5.5999999999999999E-3</c:v>
                </c:pt>
                <c:pt idx="15">
                  <c:v>8.3000000000000001E-3</c:v>
                </c:pt>
                <c:pt idx="16">
                  <c:v>8.5000000000000006E-3</c:v>
                </c:pt>
                <c:pt idx="17">
                  <c:v>7.1000000000000004E-3</c:v>
                </c:pt>
                <c:pt idx="18">
                  <c:v>9.1000000000000004E-3</c:v>
                </c:pt>
                <c:pt idx="19">
                  <c:v>5.1999999999999998E-3</c:v>
                </c:pt>
                <c:pt idx="20">
                  <c:v>6.1000000000000004E-3</c:v>
                </c:pt>
                <c:pt idx="21">
                  <c:v>9.2999999999999992E-3</c:v>
                </c:pt>
                <c:pt idx="22">
                  <c:v>6.6E-3</c:v>
                </c:pt>
                <c:pt idx="23">
                  <c:v>6.1000000000000004E-3</c:v>
                </c:pt>
                <c:pt idx="24">
                  <c:v>5.7000000000000002E-3</c:v>
                </c:pt>
                <c:pt idx="25">
                  <c:v>7.1000000000000004E-3</c:v>
                </c:pt>
                <c:pt idx="26">
                  <c:v>8.2000000000000007E-3</c:v>
                </c:pt>
                <c:pt idx="27">
                  <c:v>7.1999999999999998E-3</c:v>
                </c:pt>
                <c:pt idx="28">
                  <c:v>8.2000000000000007E-3</c:v>
                </c:pt>
                <c:pt idx="29">
                  <c:v>8.3000000000000001E-3</c:v>
                </c:pt>
                <c:pt idx="30">
                  <c:v>8.6999999999999994E-3</c:v>
                </c:pt>
                <c:pt idx="31">
                  <c:v>6.4999999999999997E-3</c:v>
                </c:pt>
                <c:pt idx="32">
                  <c:v>8.3000000000000001E-3</c:v>
                </c:pt>
                <c:pt idx="33">
                  <c:v>9.7000000000000003E-3</c:v>
                </c:pt>
                <c:pt idx="34">
                  <c:v>7.7999999999999996E-3</c:v>
                </c:pt>
                <c:pt idx="35">
                  <c:v>9.1000000000000004E-3</c:v>
                </c:pt>
                <c:pt idx="36">
                  <c:v>8.6999999999999994E-3</c:v>
                </c:pt>
                <c:pt idx="37">
                  <c:v>1.0699999999999999E-2</c:v>
                </c:pt>
                <c:pt idx="38">
                  <c:v>1.09E-2</c:v>
                </c:pt>
                <c:pt idx="39">
                  <c:v>1.0500000000000001E-2</c:v>
                </c:pt>
                <c:pt idx="40">
                  <c:v>1.04E-2</c:v>
                </c:pt>
                <c:pt idx="41">
                  <c:v>1.1299999999999999E-2</c:v>
                </c:pt>
                <c:pt idx="42">
                  <c:v>8.3000000000000001E-3</c:v>
                </c:pt>
                <c:pt idx="43">
                  <c:v>1.1299999999999999E-2</c:v>
                </c:pt>
                <c:pt idx="44">
                  <c:v>1.21E-2</c:v>
                </c:pt>
                <c:pt idx="45">
                  <c:v>9.1999999999999998E-3</c:v>
                </c:pt>
                <c:pt idx="46">
                  <c:v>9.7999999999999997E-3</c:v>
                </c:pt>
                <c:pt idx="47">
                  <c:v>8.3999999999999995E-3</c:v>
                </c:pt>
                <c:pt idx="48">
                  <c:v>1.2E-2</c:v>
                </c:pt>
                <c:pt idx="49">
                  <c:v>1.1599999999999999E-2</c:v>
                </c:pt>
                <c:pt idx="50">
                  <c:v>9.1999999999999998E-3</c:v>
                </c:pt>
                <c:pt idx="51">
                  <c:v>1.0800000000000001E-2</c:v>
                </c:pt>
                <c:pt idx="52">
                  <c:v>9.4000000000000004E-3</c:v>
                </c:pt>
                <c:pt idx="53">
                  <c:v>1.2800000000000001E-2</c:v>
                </c:pt>
                <c:pt idx="54">
                  <c:v>1.17E-2</c:v>
                </c:pt>
                <c:pt idx="55">
                  <c:v>9.9000000000000008E-3</c:v>
                </c:pt>
                <c:pt idx="56">
                  <c:v>9.7999999999999997E-3</c:v>
                </c:pt>
                <c:pt idx="57">
                  <c:v>1.34E-2</c:v>
                </c:pt>
                <c:pt idx="58">
                  <c:v>1.0699999999999999E-2</c:v>
                </c:pt>
                <c:pt idx="59">
                  <c:v>1.0200000000000001E-2</c:v>
                </c:pt>
                <c:pt idx="60">
                  <c:v>1.0500000000000001E-2</c:v>
                </c:pt>
                <c:pt idx="61">
                  <c:v>9.9000000000000008E-3</c:v>
                </c:pt>
                <c:pt idx="62">
                  <c:v>1.1599999999999999E-2</c:v>
                </c:pt>
                <c:pt idx="63">
                  <c:v>1.1299999999999999E-2</c:v>
                </c:pt>
                <c:pt idx="64">
                  <c:v>1.4E-2</c:v>
                </c:pt>
                <c:pt idx="65">
                  <c:v>1.2800000000000001E-2</c:v>
                </c:pt>
                <c:pt idx="66">
                  <c:v>1.2800000000000001E-2</c:v>
                </c:pt>
                <c:pt idx="67">
                  <c:v>1.38E-2</c:v>
                </c:pt>
                <c:pt idx="68">
                  <c:v>1.3100000000000001E-2</c:v>
                </c:pt>
                <c:pt idx="69">
                  <c:v>1.24E-2</c:v>
                </c:pt>
                <c:pt idx="70">
                  <c:v>1.32E-2</c:v>
                </c:pt>
                <c:pt idx="71">
                  <c:v>1.18E-2</c:v>
                </c:pt>
                <c:pt idx="72">
                  <c:v>1.41E-2</c:v>
                </c:pt>
                <c:pt idx="73">
                  <c:v>1.2699999999999999E-2</c:v>
                </c:pt>
                <c:pt idx="74">
                  <c:v>1.23E-2</c:v>
                </c:pt>
                <c:pt idx="75">
                  <c:v>1.4500000000000001E-2</c:v>
                </c:pt>
                <c:pt idx="76">
                  <c:v>1.54E-2</c:v>
                </c:pt>
                <c:pt idx="77">
                  <c:v>1.23E-2</c:v>
                </c:pt>
                <c:pt idx="78">
                  <c:v>1.3299999999999999E-2</c:v>
                </c:pt>
                <c:pt idx="79">
                  <c:v>1.24E-2</c:v>
                </c:pt>
                <c:pt idx="80">
                  <c:v>1.2200000000000001E-2</c:v>
                </c:pt>
                <c:pt idx="81">
                  <c:v>1.6199999999999999E-2</c:v>
                </c:pt>
                <c:pt idx="82">
                  <c:v>1.4800000000000001E-2</c:v>
                </c:pt>
                <c:pt idx="83">
                  <c:v>1.5599999999999999E-2</c:v>
                </c:pt>
                <c:pt idx="84">
                  <c:v>1.4200000000000001E-2</c:v>
                </c:pt>
                <c:pt idx="85">
                  <c:v>1.49E-2</c:v>
                </c:pt>
                <c:pt idx="86">
                  <c:v>1.5699999999999999E-2</c:v>
                </c:pt>
                <c:pt idx="87">
                  <c:v>1.6500000000000001E-2</c:v>
                </c:pt>
                <c:pt idx="88">
                  <c:v>1.55E-2</c:v>
                </c:pt>
                <c:pt idx="89">
                  <c:v>1.5599999999999999E-2</c:v>
                </c:pt>
                <c:pt idx="90">
                  <c:v>1.5699999999999999E-2</c:v>
                </c:pt>
                <c:pt idx="91">
                  <c:v>1.5900000000000001E-2</c:v>
                </c:pt>
                <c:pt idx="92">
                  <c:v>1.5299999999999999E-2</c:v>
                </c:pt>
                <c:pt idx="93">
                  <c:v>1.5299999999999999E-2</c:v>
                </c:pt>
                <c:pt idx="94">
                  <c:v>1.3899999999999999E-2</c:v>
                </c:pt>
                <c:pt idx="95">
                  <c:v>1.6899999999999998E-2</c:v>
                </c:pt>
                <c:pt idx="96">
                  <c:v>1.6799999999999999E-2</c:v>
                </c:pt>
                <c:pt idx="97">
                  <c:v>1.44E-2</c:v>
                </c:pt>
                <c:pt idx="98">
                  <c:v>1.7600000000000001E-2</c:v>
                </c:pt>
                <c:pt idx="99">
                  <c:v>1.7000000000000001E-2</c:v>
                </c:pt>
                <c:pt idx="100">
                  <c:v>1.5599999999999999E-2</c:v>
                </c:pt>
                <c:pt idx="101">
                  <c:v>1.5299999999999999E-2</c:v>
                </c:pt>
                <c:pt idx="102">
                  <c:v>1.6899999999999998E-2</c:v>
                </c:pt>
                <c:pt idx="103">
                  <c:v>1.4800000000000001E-2</c:v>
                </c:pt>
                <c:pt idx="104">
                  <c:v>1.6799999999999999E-2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D3-4031-812F-3B0195D9D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731999"/>
        <c:axId val="82896702"/>
      </c:barChart>
      <c:dateAx>
        <c:axId val="87731999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82896702"/>
        <c:crosses val="autoZero"/>
        <c:auto val="1"/>
        <c:lblOffset val="100"/>
        <c:baseTimeUnit val="days"/>
      </c:dateAx>
      <c:valAx>
        <c:axId val="828967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Portfolio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877319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Daily Collections vs Cash Out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Metrics'!$J$12</c:f>
              <c:strCache>
                <c:ptCount val="1"/>
                <c:pt idx="0">
                  <c:v>Daily Collections</c:v>
                </c:pt>
              </c:strCache>
            </c:strRef>
          </c:tx>
          <c:spPr>
            <a:ln w="1260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Metrics'!$J$13:$J$117</c:f>
              <c:numCache>
                <c:formatCode>#,##0</c:formatCode>
                <c:ptCount val="105"/>
                <c:pt idx="0">
                  <c:v>31673050</c:v>
                </c:pt>
                <c:pt idx="1">
                  <c:v>44527075</c:v>
                </c:pt>
                <c:pt idx="2">
                  <c:v>22804689</c:v>
                </c:pt>
                <c:pt idx="3">
                  <c:v>29331876</c:v>
                </c:pt>
                <c:pt idx="4">
                  <c:v>30232130</c:v>
                </c:pt>
                <c:pt idx="5">
                  <c:v>25161458</c:v>
                </c:pt>
                <c:pt idx="6">
                  <c:v>19579168</c:v>
                </c:pt>
                <c:pt idx="7">
                  <c:v>33816522</c:v>
                </c:pt>
                <c:pt idx="8">
                  <c:v>42924777</c:v>
                </c:pt>
                <c:pt idx="9">
                  <c:v>31850181</c:v>
                </c:pt>
                <c:pt idx="10">
                  <c:v>27927833</c:v>
                </c:pt>
                <c:pt idx="11">
                  <c:v>24635031</c:v>
                </c:pt>
                <c:pt idx="12">
                  <c:v>15104199</c:v>
                </c:pt>
                <c:pt idx="13">
                  <c:v>39539877</c:v>
                </c:pt>
                <c:pt idx="14">
                  <c:v>29526939</c:v>
                </c:pt>
                <c:pt idx="15">
                  <c:v>26776320</c:v>
                </c:pt>
                <c:pt idx="16">
                  <c:v>19739505</c:v>
                </c:pt>
                <c:pt idx="17">
                  <c:v>25050331</c:v>
                </c:pt>
                <c:pt idx="18">
                  <c:v>34340550</c:v>
                </c:pt>
                <c:pt idx="19">
                  <c:v>34085603</c:v>
                </c:pt>
                <c:pt idx="20">
                  <c:v>41404074</c:v>
                </c:pt>
                <c:pt idx="21">
                  <c:v>31747441</c:v>
                </c:pt>
                <c:pt idx="22">
                  <c:v>17251446</c:v>
                </c:pt>
                <c:pt idx="23">
                  <c:v>40123987</c:v>
                </c:pt>
                <c:pt idx="24">
                  <c:v>21553359</c:v>
                </c:pt>
                <c:pt idx="25">
                  <c:v>28360739</c:v>
                </c:pt>
                <c:pt idx="26">
                  <c:v>41332579</c:v>
                </c:pt>
                <c:pt idx="27">
                  <c:v>15820521</c:v>
                </c:pt>
                <c:pt idx="28">
                  <c:v>21846538</c:v>
                </c:pt>
                <c:pt idx="29">
                  <c:v>43086457</c:v>
                </c:pt>
                <c:pt idx="30">
                  <c:v>24739623</c:v>
                </c:pt>
                <c:pt idx="31">
                  <c:v>20109589</c:v>
                </c:pt>
                <c:pt idx="32">
                  <c:v>37055102</c:v>
                </c:pt>
                <c:pt idx="33">
                  <c:v>33459240</c:v>
                </c:pt>
                <c:pt idx="34">
                  <c:v>42590671</c:v>
                </c:pt>
                <c:pt idx="35">
                  <c:v>29498044</c:v>
                </c:pt>
                <c:pt idx="36">
                  <c:v>22600072</c:v>
                </c:pt>
                <c:pt idx="37">
                  <c:v>28159836</c:v>
                </c:pt>
                <c:pt idx="38">
                  <c:v>36099135</c:v>
                </c:pt>
                <c:pt idx="39">
                  <c:v>31384368</c:v>
                </c:pt>
                <c:pt idx="40">
                  <c:v>19890874</c:v>
                </c:pt>
                <c:pt idx="41">
                  <c:v>18665702</c:v>
                </c:pt>
                <c:pt idx="42">
                  <c:v>28011735</c:v>
                </c:pt>
                <c:pt idx="43">
                  <c:v>17466962</c:v>
                </c:pt>
                <c:pt idx="44">
                  <c:v>20048850</c:v>
                </c:pt>
                <c:pt idx="45">
                  <c:v>39479047</c:v>
                </c:pt>
                <c:pt idx="46">
                  <c:v>34949858</c:v>
                </c:pt>
                <c:pt idx="47">
                  <c:v>44730603</c:v>
                </c:pt>
                <c:pt idx="48">
                  <c:v>23439339</c:v>
                </c:pt>
                <c:pt idx="49">
                  <c:v>18744791</c:v>
                </c:pt>
                <c:pt idx="50">
                  <c:v>40633063</c:v>
                </c:pt>
                <c:pt idx="51">
                  <c:v>15805155</c:v>
                </c:pt>
                <c:pt idx="52">
                  <c:v>24814244</c:v>
                </c:pt>
                <c:pt idx="53">
                  <c:v>26839491</c:v>
                </c:pt>
                <c:pt idx="54">
                  <c:v>16372629</c:v>
                </c:pt>
                <c:pt idx="55">
                  <c:v>36287626</c:v>
                </c:pt>
                <c:pt idx="56">
                  <c:v>19604742</c:v>
                </c:pt>
                <c:pt idx="57">
                  <c:v>15265912</c:v>
                </c:pt>
                <c:pt idx="58">
                  <c:v>27546377</c:v>
                </c:pt>
                <c:pt idx="59">
                  <c:v>19894333</c:v>
                </c:pt>
                <c:pt idx="60">
                  <c:v>43447259</c:v>
                </c:pt>
                <c:pt idx="61">
                  <c:v>39637051</c:v>
                </c:pt>
                <c:pt idx="62">
                  <c:v>32437007</c:v>
                </c:pt>
                <c:pt idx="63">
                  <c:v>30379696</c:v>
                </c:pt>
                <c:pt idx="64">
                  <c:v>36925937</c:v>
                </c:pt>
                <c:pt idx="65">
                  <c:v>19437012</c:v>
                </c:pt>
                <c:pt idx="66">
                  <c:v>34190044</c:v>
                </c:pt>
                <c:pt idx="67">
                  <c:v>35470836</c:v>
                </c:pt>
                <c:pt idx="68">
                  <c:v>21323089</c:v>
                </c:pt>
                <c:pt idx="69">
                  <c:v>32444595</c:v>
                </c:pt>
                <c:pt idx="70">
                  <c:v>31564903</c:v>
                </c:pt>
                <c:pt idx="71">
                  <c:v>31070964</c:v>
                </c:pt>
                <c:pt idx="72">
                  <c:v>27489088</c:v>
                </c:pt>
                <c:pt idx="73">
                  <c:v>20076406</c:v>
                </c:pt>
                <c:pt idx="74">
                  <c:v>19960262</c:v>
                </c:pt>
                <c:pt idx="75">
                  <c:v>34102232</c:v>
                </c:pt>
                <c:pt idx="76">
                  <c:v>40509270</c:v>
                </c:pt>
                <c:pt idx="77">
                  <c:v>17383419</c:v>
                </c:pt>
                <c:pt idx="78">
                  <c:v>23404278</c:v>
                </c:pt>
                <c:pt idx="79">
                  <c:v>21289139</c:v>
                </c:pt>
                <c:pt idx="80">
                  <c:v>44900571</c:v>
                </c:pt>
                <c:pt idx="81">
                  <c:v>36392869</c:v>
                </c:pt>
                <c:pt idx="82">
                  <c:v>27939441</c:v>
                </c:pt>
                <c:pt idx="83">
                  <c:v>19657579</c:v>
                </c:pt>
                <c:pt idx="84">
                  <c:v>18342199</c:v>
                </c:pt>
                <c:pt idx="85">
                  <c:v>42937574</c:v>
                </c:pt>
                <c:pt idx="86">
                  <c:v>33376955</c:v>
                </c:pt>
                <c:pt idx="87">
                  <c:v>16893750</c:v>
                </c:pt>
                <c:pt idx="88">
                  <c:v>24688508</c:v>
                </c:pt>
                <c:pt idx="89">
                  <c:v>16418836</c:v>
                </c:pt>
                <c:pt idx="90">
                  <c:v>28332899</c:v>
                </c:pt>
                <c:pt idx="91">
                  <c:v>40089734</c:v>
                </c:pt>
                <c:pt idx="92">
                  <c:v>40517591</c:v>
                </c:pt>
                <c:pt idx="93">
                  <c:v>27372390</c:v>
                </c:pt>
                <c:pt idx="94">
                  <c:v>27578746</c:v>
                </c:pt>
                <c:pt idx="95">
                  <c:v>42219207</c:v>
                </c:pt>
                <c:pt idx="96">
                  <c:v>38275865</c:v>
                </c:pt>
                <c:pt idx="97">
                  <c:v>27166349</c:v>
                </c:pt>
                <c:pt idx="98">
                  <c:v>22693696</c:v>
                </c:pt>
                <c:pt idx="99">
                  <c:v>35440168</c:v>
                </c:pt>
                <c:pt idx="100">
                  <c:v>23814993</c:v>
                </c:pt>
                <c:pt idx="101">
                  <c:v>38409203</c:v>
                </c:pt>
                <c:pt idx="102">
                  <c:v>25240192</c:v>
                </c:pt>
                <c:pt idx="103">
                  <c:v>40923685</c:v>
                </c:pt>
                <c:pt idx="104">
                  <c:v>34910766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F1-42DD-BA52-00724169A93D}"/>
            </c:ext>
          </c:extLst>
        </c:ser>
        <c:ser>
          <c:idx val="1"/>
          <c:order val="1"/>
          <c:tx>
            <c:strRef>
              <c:f>'Daily Metrics'!$K$12</c:f>
              <c:strCache>
                <c:ptCount val="1"/>
                <c:pt idx="0">
                  <c:v>Daily Cash Out</c:v>
                </c:pt>
              </c:strCache>
            </c:strRef>
          </c:tx>
          <c:spPr>
            <a:ln w="126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Metrics'!$K$13:$K$117</c:f>
              <c:numCache>
                <c:formatCode>#,##0</c:formatCode>
                <c:ptCount val="105"/>
                <c:pt idx="0">
                  <c:v>26552248</c:v>
                </c:pt>
                <c:pt idx="1">
                  <c:v>8469374</c:v>
                </c:pt>
                <c:pt idx="2">
                  <c:v>102914687</c:v>
                </c:pt>
                <c:pt idx="3">
                  <c:v>29663469</c:v>
                </c:pt>
                <c:pt idx="4">
                  <c:v>29616484</c:v>
                </c:pt>
                <c:pt idx="5">
                  <c:v>8455091</c:v>
                </c:pt>
                <c:pt idx="6">
                  <c:v>32689551</c:v>
                </c:pt>
                <c:pt idx="7">
                  <c:v>9528722</c:v>
                </c:pt>
                <c:pt idx="8">
                  <c:v>30175289</c:v>
                </c:pt>
                <c:pt idx="9">
                  <c:v>12853300</c:v>
                </c:pt>
                <c:pt idx="10">
                  <c:v>31473672</c:v>
                </c:pt>
                <c:pt idx="11">
                  <c:v>24376938</c:v>
                </c:pt>
                <c:pt idx="12">
                  <c:v>5682060</c:v>
                </c:pt>
                <c:pt idx="13">
                  <c:v>6455432</c:v>
                </c:pt>
                <c:pt idx="14">
                  <c:v>7307641</c:v>
                </c:pt>
                <c:pt idx="15">
                  <c:v>8426962</c:v>
                </c:pt>
                <c:pt idx="16">
                  <c:v>18695544</c:v>
                </c:pt>
                <c:pt idx="17">
                  <c:v>17879737</c:v>
                </c:pt>
                <c:pt idx="18">
                  <c:v>22469714</c:v>
                </c:pt>
                <c:pt idx="19">
                  <c:v>33892389</c:v>
                </c:pt>
                <c:pt idx="20">
                  <c:v>31336807</c:v>
                </c:pt>
                <c:pt idx="21">
                  <c:v>13813522</c:v>
                </c:pt>
                <c:pt idx="22">
                  <c:v>26707287</c:v>
                </c:pt>
                <c:pt idx="23">
                  <c:v>22664333</c:v>
                </c:pt>
                <c:pt idx="24">
                  <c:v>27579671</c:v>
                </c:pt>
                <c:pt idx="25">
                  <c:v>28243009</c:v>
                </c:pt>
                <c:pt idx="26">
                  <c:v>20942899</c:v>
                </c:pt>
                <c:pt idx="27">
                  <c:v>8488049</c:v>
                </c:pt>
                <c:pt idx="28">
                  <c:v>14506347</c:v>
                </c:pt>
                <c:pt idx="29">
                  <c:v>9758343</c:v>
                </c:pt>
                <c:pt idx="30">
                  <c:v>16151585</c:v>
                </c:pt>
                <c:pt idx="31">
                  <c:v>13520406</c:v>
                </c:pt>
                <c:pt idx="32">
                  <c:v>119039066</c:v>
                </c:pt>
                <c:pt idx="33">
                  <c:v>17438963</c:v>
                </c:pt>
                <c:pt idx="34">
                  <c:v>19048277</c:v>
                </c:pt>
                <c:pt idx="35">
                  <c:v>16057358</c:v>
                </c:pt>
                <c:pt idx="36">
                  <c:v>19008667</c:v>
                </c:pt>
                <c:pt idx="37">
                  <c:v>32770266</c:v>
                </c:pt>
                <c:pt idx="38">
                  <c:v>30737663</c:v>
                </c:pt>
                <c:pt idx="39">
                  <c:v>20222271</c:v>
                </c:pt>
                <c:pt idx="40">
                  <c:v>11536286</c:v>
                </c:pt>
                <c:pt idx="41">
                  <c:v>19680241</c:v>
                </c:pt>
                <c:pt idx="42">
                  <c:v>21983493</c:v>
                </c:pt>
                <c:pt idx="43">
                  <c:v>9734673</c:v>
                </c:pt>
                <c:pt idx="44">
                  <c:v>20262133</c:v>
                </c:pt>
                <c:pt idx="45">
                  <c:v>25880973</c:v>
                </c:pt>
                <c:pt idx="46">
                  <c:v>9548336</c:v>
                </c:pt>
                <c:pt idx="47">
                  <c:v>14097802</c:v>
                </c:pt>
                <c:pt idx="48">
                  <c:v>9842489</c:v>
                </c:pt>
                <c:pt idx="49">
                  <c:v>34235767</c:v>
                </c:pt>
                <c:pt idx="50">
                  <c:v>13825482</c:v>
                </c:pt>
                <c:pt idx="51">
                  <c:v>10969962</c:v>
                </c:pt>
                <c:pt idx="52">
                  <c:v>21861624</c:v>
                </c:pt>
                <c:pt idx="53">
                  <c:v>27265820</c:v>
                </c:pt>
                <c:pt idx="54">
                  <c:v>29226734</c:v>
                </c:pt>
                <c:pt idx="55">
                  <c:v>18725975</c:v>
                </c:pt>
                <c:pt idx="56">
                  <c:v>34773470</c:v>
                </c:pt>
                <c:pt idx="57">
                  <c:v>17924115</c:v>
                </c:pt>
                <c:pt idx="58">
                  <c:v>26348094</c:v>
                </c:pt>
                <c:pt idx="59">
                  <c:v>14952690</c:v>
                </c:pt>
                <c:pt idx="60">
                  <c:v>18628895</c:v>
                </c:pt>
                <c:pt idx="61">
                  <c:v>5238288</c:v>
                </c:pt>
                <c:pt idx="62">
                  <c:v>82284488</c:v>
                </c:pt>
                <c:pt idx="63">
                  <c:v>16998265</c:v>
                </c:pt>
                <c:pt idx="64">
                  <c:v>11774916</c:v>
                </c:pt>
                <c:pt idx="65">
                  <c:v>17309568</c:v>
                </c:pt>
                <c:pt idx="66">
                  <c:v>9643265</c:v>
                </c:pt>
                <c:pt idx="67">
                  <c:v>33732308</c:v>
                </c:pt>
                <c:pt idx="68">
                  <c:v>16171700</c:v>
                </c:pt>
                <c:pt idx="69">
                  <c:v>15321582</c:v>
                </c:pt>
                <c:pt idx="70">
                  <c:v>20260945</c:v>
                </c:pt>
                <c:pt idx="71">
                  <c:v>30791685</c:v>
                </c:pt>
                <c:pt idx="72">
                  <c:v>9510472</c:v>
                </c:pt>
                <c:pt idx="73">
                  <c:v>34588108</c:v>
                </c:pt>
                <c:pt idx="74">
                  <c:v>5025296</c:v>
                </c:pt>
                <c:pt idx="75">
                  <c:v>14059579</c:v>
                </c:pt>
                <c:pt idx="76">
                  <c:v>9841378</c:v>
                </c:pt>
                <c:pt idx="77">
                  <c:v>28937534</c:v>
                </c:pt>
                <c:pt idx="78">
                  <c:v>23201145</c:v>
                </c:pt>
                <c:pt idx="79">
                  <c:v>33220873</c:v>
                </c:pt>
                <c:pt idx="80">
                  <c:v>10589582</c:v>
                </c:pt>
                <c:pt idx="81">
                  <c:v>19566463</c:v>
                </c:pt>
                <c:pt idx="82">
                  <c:v>15935436</c:v>
                </c:pt>
                <c:pt idx="83">
                  <c:v>23395748</c:v>
                </c:pt>
                <c:pt idx="84">
                  <c:v>6140938</c:v>
                </c:pt>
                <c:pt idx="85">
                  <c:v>14486438</c:v>
                </c:pt>
                <c:pt idx="86">
                  <c:v>6684992</c:v>
                </c:pt>
                <c:pt idx="87">
                  <c:v>18412346</c:v>
                </c:pt>
                <c:pt idx="88">
                  <c:v>27678892</c:v>
                </c:pt>
                <c:pt idx="89">
                  <c:v>15921044</c:v>
                </c:pt>
                <c:pt idx="90">
                  <c:v>20062178</c:v>
                </c:pt>
                <c:pt idx="91">
                  <c:v>23158876</c:v>
                </c:pt>
                <c:pt idx="92">
                  <c:v>132548593</c:v>
                </c:pt>
                <c:pt idx="93">
                  <c:v>16278327</c:v>
                </c:pt>
                <c:pt idx="94">
                  <c:v>14936394</c:v>
                </c:pt>
                <c:pt idx="95">
                  <c:v>26623532</c:v>
                </c:pt>
                <c:pt idx="96">
                  <c:v>17073782</c:v>
                </c:pt>
                <c:pt idx="97">
                  <c:v>10734948</c:v>
                </c:pt>
                <c:pt idx="98">
                  <c:v>32546104</c:v>
                </c:pt>
                <c:pt idx="99">
                  <c:v>34782557</c:v>
                </c:pt>
                <c:pt idx="100">
                  <c:v>33776553</c:v>
                </c:pt>
                <c:pt idx="101">
                  <c:v>5539065</c:v>
                </c:pt>
                <c:pt idx="102">
                  <c:v>21477566</c:v>
                </c:pt>
                <c:pt idx="103">
                  <c:v>13820495</c:v>
                </c:pt>
                <c:pt idx="104">
                  <c:v>18842179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F1-42DD-BA52-00724169A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393346"/>
        <c:axId val="80804034"/>
      </c:lineChart>
      <c:dateAx>
        <c:axId val="89393346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80804034"/>
        <c:crosses val="autoZero"/>
        <c:auto val="1"/>
        <c:lblOffset val="100"/>
        <c:baseTimeUnit val="days"/>
      </c:dateAx>
      <c:valAx>
        <c:axId val="808040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IDR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8939334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Partner Concentration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'Daily Metrics'!$U$12</c:f>
              <c:strCache>
                <c:ptCount val="1"/>
                <c:pt idx="0">
                  <c:v>Partner KPI %</c:v>
                </c:pt>
              </c:strCache>
            </c:strRef>
          </c:tx>
          <c:spPr>
            <a:solidFill>
              <a:srgbClr val="2F549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Metrics'!$U$13:$U$117</c:f>
              <c:numCache>
                <c:formatCode>0.0%</c:formatCode>
                <c:ptCount val="105"/>
                <c:pt idx="0">
                  <c:v>0.44190000000000002</c:v>
                </c:pt>
                <c:pt idx="1">
                  <c:v>0.35699999999999998</c:v>
                </c:pt>
                <c:pt idx="2">
                  <c:v>0.40389999999999998</c:v>
                </c:pt>
                <c:pt idx="3">
                  <c:v>0.4264</c:v>
                </c:pt>
                <c:pt idx="4">
                  <c:v>0.42630000000000001</c:v>
                </c:pt>
                <c:pt idx="5">
                  <c:v>0.42909999999999998</c:v>
                </c:pt>
                <c:pt idx="6">
                  <c:v>0.40620000000000001</c:v>
                </c:pt>
                <c:pt idx="7">
                  <c:v>0.38690000000000002</c:v>
                </c:pt>
                <c:pt idx="8">
                  <c:v>0.35049999999999998</c:v>
                </c:pt>
                <c:pt idx="9">
                  <c:v>0.43990000000000001</c:v>
                </c:pt>
                <c:pt idx="10">
                  <c:v>0.39500000000000002</c:v>
                </c:pt>
                <c:pt idx="11">
                  <c:v>0.43380000000000002</c:v>
                </c:pt>
                <c:pt idx="12">
                  <c:v>0.4375</c:v>
                </c:pt>
                <c:pt idx="13">
                  <c:v>0.41670000000000001</c:v>
                </c:pt>
                <c:pt idx="14">
                  <c:v>0.41199999999999998</c:v>
                </c:pt>
                <c:pt idx="15">
                  <c:v>0.37390000000000001</c:v>
                </c:pt>
                <c:pt idx="16">
                  <c:v>0.38600000000000001</c:v>
                </c:pt>
                <c:pt idx="17">
                  <c:v>0.36570000000000003</c:v>
                </c:pt>
                <c:pt idx="18">
                  <c:v>0.44419999999999998</c:v>
                </c:pt>
                <c:pt idx="19">
                  <c:v>0.36080000000000001</c:v>
                </c:pt>
                <c:pt idx="20">
                  <c:v>0.439</c:v>
                </c:pt>
                <c:pt idx="21">
                  <c:v>0.38550000000000001</c:v>
                </c:pt>
                <c:pt idx="22">
                  <c:v>0.38600000000000001</c:v>
                </c:pt>
                <c:pt idx="23">
                  <c:v>0.39329999999999998</c:v>
                </c:pt>
                <c:pt idx="24">
                  <c:v>0.41210000000000002</c:v>
                </c:pt>
                <c:pt idx="25">
                  <c:v>0.43859999999999999</c:v>
                </c:pt>
                <c:pt idx="26">
                  <c:v>0.3921</c:v>
                </c:pt>
                <c:pt idx="27">
                  <c:v>0.42009999999999997</c:v>
                </c:pt>
                <c:pt idx="28">
                  <c:v>0.39500000000000002</c:v>
                </c:pt>
                <c:pt idx="29">
                  <c:v>0.37180000000000002</c:v>
                </c:pt>
                <c:pt idx="30">
                  <c:v>0.3952</c:v>
                </c:pt>
                <c:pt idx="31">
                  <c:v>0.35189999999999999</c:v>
                </c:pt>
                <c:pt idx="32">
                  <c:v>0.37940000000000002</c:v>
                </c:pt>
                <c:pt idx="33">
                  <c:v>0.4007</c:v>
                </c:pt>
                <c:pt idx="34">
                  <c:v>0.38629999999999998</c:v>
                </c:pt>
                <c:pt idx="35">
                  <c:v>0.35780000000000001</c:v>
                </c:pt>
                <c:pt idx="36">
                  <c:v>0.42809999999999998</c:v>
                </c:pt>
                <c:pt idx="37">
                  <c:v>0.44259999999999999</c:v>
                </c:pt>
                <c:pt idx="38">
                  <c:v>0.4204</c:v>
                </c:pt>
                <c:pt idx="39">
                  <c:v>0.44219999999999998</c:v>
                </c:pt>
                <c:pt idx="40">
                  <c:v>0.43030000000000002</c:v>
                </c:pt>
                <c:pt idx="41">
                  <c:v>0.41789999999999999</c:v>
                </c:pt>
                <c:pt idx="42">
                  <c:v>0.436</c:v>
                </c:pt>
                <c:pt idx="43">
                  <c:v>0.43740000000000001</c:v>
                </c:pt>
                <c:pt idx="44">
                  <c:v>0.37459999999999999</c:v>
                </c:pt>
                <c:pt idx="45">
                  <c:v>0.38009999999999999</c:v>
                </c:pt>
                <c:pt idx="46">
                  <c:v>0.38619999999999999</c:v>
                </c:pt>
                <c:pt idx="47">
                  <c:v>0.42399999999999999</c:v>
                </c:pt>
                <c:pt idx="48">
                  <c:v>0.40050000000000002</c:v>
                </c:pt>
                <c:pt idx="49">
                  <c:v>0.41260000000000002</c:v>
                </c:pt>
                <c:pt idx="50">
                  <c:v>0.35809999999999997</c:v>
                </c:pt>
                <c:pt idx="51">
                  <c:v>0.436</c:v>
                </c:pt>
                <c:pt idx="52">
                  <c:v>0.41539999999999999</c:v>
                </c:pt>
                <c:pt idx="53">
                  <c:v>0.42630000000000001</c:v>
                </c:pt>
                <c:pt idx="54">
                  <c:v>0.43569999999999998</c:v>
                </c:pt>
                <c:pt idx="55">
                  <c:v>0.42259999999999998</c:v>
                </c:pt>
                <c:pt idx="56">
                  <c:v>0.3589</c:v>
                </c:pt>
                <c:pt idx="57">
                  <c:v>0.38950000000000001</c:v>
                </c:pt>
                <c:pt idx="58">
                  <c:v>0.35680000000000001</c:v>
                </c:pt>
                <c:pt idx="59">
                  <c:v>0.43859999999999999</c:v>
                </c:pt>
                <c:pt idx="60">
                  <c:v>0.44779999999999998</c:v>
                </c:pt>
                <c:pt idx="61">
                  <c:v>0.39679999999999999</c:v>
                </c:pt>
                <c:pt idx="62">
                  <c:v>0.4294</c:v>
                </c:pt>
                <c:pt idx="63">
                  <c:v>0.4294</c:v>
                </c:pt>
                <c:pt idx="64">
                  <c:v>0.35749999999999998</c:v>
                </c:pt>
                <c:pt idx="65">
                  <c:v>0.36940000000000001</c:v>
                </c:pt>
                <c:pt idx="66">
                  <c:v>0.36209999999999998</c:v>
                </c:pt>
                <c:pt idx="67">
                  <c:v>0.43020000000000003</c:v>
                </c:pt>
                <c:pt idx="68">
                  <c:v>0.377</c:v>
                </c:pt>
                <c:pt idx="69">
                  <c:v>0.44919999999999999</c:v>
                </c:pt>
                <c:pt idx="70">
                  <c:v>0.37819999999999998</c:v>
                </c:pt>
                <c:pt idx="71">
                  <c:v>0.42549999999999999</c:v>
                </c:pt>
                <c:pt idx="72">
                  <c:v>0.40939999999999999</c:v>
                </c:pt>
                <c:pt idx="73">
                  <c:v>0.4002</c:v>
                </c:pt>
                <c:pt idx="74">
                  <c:v>0.40550000000000003</c:v>
                </c:pt>
                <c:pt idx="75">
                  <c:v>0.40710000000000002</c:v>
                </c:pt>
                <c:pt idx="76">
                  <c:v>0.39610000000000001</c:v>
                </c:pt>
                <c:pt idx="77">
                  <c:v>0.39560000000000001</c:v>
                </c:pt>
                <c:pt idx="78">
                  <c:v>0.3574</c:v>
                </c:pt>
                <c:pt idx="79">
                  <c:v>0.36120000000000002</c:v>
                </c:pt>
                <c:pt idx="80">
                  <c:v>0.38650000000000001</c:v>
                </c:pt>
                <c:pt idx="81">
                  <c:v>0.3876</c:v>
                </c:pt>
                <c:pt idx="82">
                  <c:v>0.40789999999999998</c:v>
                </c:pt>
                <c:pt idx="83">
                  <c:v>0.3866</c:v>
                </c:pt>
                <c:pt idx="84">
                  <c:v>0.35410000000000003</c:v>
                </c:pt>
                <c:pt idx="85">
                  <c:v>0.43690000000000001</c:v>
                </c:pt>
                <c:pt idx="86">
                  <c:v>0.42170000000000002</c:v>
                </c:pt>
                <c:pt idx="87">
                  <c:v>0.40550000000000003</c:v>
                </c:pt>
                <c:pt idx="88">
                  <c:v>0.35360000000000003</c:v>
                </c:pt>
                <c:pt idx="89">
                  <c:v>0.41389999999999999</c:v>
                </c:pt>
                <c:pt idx="90">
                  <c:v>0.44019999999999998</c:v>
                </c:pt>
                <c:pt idx="91">
                  <c:v>0.41049999999999998</c:v>
                </c:pt>
                <c:pt idx="92">
                  <c:v>0.41160000000000002</c:v>
                </c:pt>
                <c:pt idx="93">
                  <c:v>0.4249</c:v>
                </c:pt>
                <c:pt idx="94">
                  <c:v>0.39319999999999999</c:v>
                </c:pt>
                <c:pt idx="95">
                  <c:v>0.44690000000000002</c:v>
                </c:pt>
                <c:pt idx="96">
                  <c:v>0.39579999999999999</c:v>
                </c:pt>
                <c:pt idx="97">
                  <c:v>0.375</c:v>
                </c:pt>
                <c:pt idx="98">
                  <c:v>0.43049999999999999</c:v>
                </c:pt>
                <c:pt idx="99">
                  <c:v>0.36649999999999999</c:v>
                </c:pt>
                <c:pt idx="100">
                  <c:v>0.40300000000000002</c:v>
                </c:pt>
                <c:pt idx="101">
                  <c:v>0.42630000000000001</c:v>
                </c:pt>
                <c:pt idx="102">
                  <c:v>0.38779999999999998</c:v>
                </c:pt>
                <c:pt idx="103">
                  <c:v>0.40339999999999998</c:v>
                </c:pt>
                <c:pt idx="104">
                  <c:v>0.3629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4-44E2-BD44-0E4AC5A1120F}"/>
            </c:ext>
          </c:extLst>
        </c:ser>
        <c:ser>
          <c:idx val="1"/>
          <c:order val="1"/>
          <c:tx>
            <c:strRef>
              <c:f>'Daily Metrics'!$V$12</c:f>
              <c:strCache>
                <c:ptCount val="1"/>
                <c:pt idx="0">
                  <c:v>Partner FDI %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Metrics'!$V$13:$V$117</c:f>
              <c:numCache>
                <c:formatCode>0.0%</c:formatCode>
                <c:ptCount val="105"/>
                <c:pt idx="0">
                  <c:v>0.35310000000000002</c:v>
                </c:pt>
                <c:pt idx="1">
                  <c:v>0.3664</c:v>
                </c:pt>
                <c:pt idx="2">
                  <c:v>0.4</c:v>
                </c:pt>
                <c:pt idx="3">
                  <c:v>0.36059999999999998</c:v>
                </c:pt>
                <c:pt idx="4">
                  <c:v>0.3377</c:v>
                </c:pt>
                <c:pt idx="5">
                  <c:v>0.3014</c:v>
                </c:pt>
                <c:pt idx="6">
                  <c:v>0.36699999999999999</c:v>
                </c:pt>
                <c:pt idx="7">
                  <c:v>0.32869999999999999</c:v>
                </c:pt>
                <c:pt idx="8">
                  <c:v>0.30790000000000001</c:v>
                </c:pt>
                <c:pt idx="9">
                  <c:v>0.34449999999999997</c:v>
                </c:pt>
                <c:pt idx="10">
                  <c:v>0.35499999999999998</c:v>
                </c:pt>
                <c:pt idx="11">
                  <c:v>0.39340000000000003</c:v>
                </c:pt>
                <c:pt idx="12">
                  <c:v>0.3765</c:v>
                </c:pt>
                <c:pt idx="13">
                  <c:v>0.36170000000000002</c:v>
                </c:pt>
                <c:pt idx="14">
                  <c:v>0.38040000000000002</c:v>
                </c:pt>
                <c:pt idx="15">
                  <c:v>0.31169999999999998</c:v>
                </c:pt>
                <c:pt idx="16">
                  <c:v>0.30819999999999997</c:v>
                </c:pt>
                <c:pt idx="17">
                  <c:v>0.37730000000000002</c:v>
                </c:pt>
                <c:pt idx="18">
                  <c:v>0.30509999999999998</c:v>
                </c:pt>
                <c:pt idx="19">
                  <c:v>0.30009999999999998</c:v>
                </c:pt>
                <c:pt idx="20">
                  <c:v>0.33310000000000001</c:v>
                </c:pt>
                <c:pt idx="21">
                  <c:v>0.37440000000000001</c:v>
                </c:pt>
                <c:pt idx="22">
                  <c:v>0.36770000000000003</c:v>
                </c:pt>
                <c:pt idx="23">
                  <c:v>0.35849999999999999</c:v>
                </c:pt>
                <c:pt idx="24">
                  <c:v>0.39589999999999997</c:v>
                </c:pt>
                <c:pt idx="25">
                  <c:v>0.30759999999999998</c:v>
                </c:pt>
                <c:pt idx="26">
                  <c:v>0.38750000000000001</c:v>
                </c:pt>
                <c:pt idx="27">
                  <c:v>0.32629999999999998</c:v>
                </c:pt>
                <c:pt idx="28">
                  <c:v>0.31669999999999998</c:v>
                </c:pt>
                <c:pt idx="29">
                  <c:v>0.31130000000000002</c:v>
                </c:pt>
                <c:pt idx="30">
                  <c:v>0.39600000000000002</c:v>
                </c:pt>
                <c:pt idx="31">
                  <c:v>0.38669999999999999</c:v>
                </c:pt>
                <c:pt idx="32">
                  <c:v>0.39190000000000003</c:v>
                </c:pt>
                <c:pt idx="33">
                  <c:v>0.33239999999999997</c:v>
                </c:pt>
                <c:pt idx="34">
                  <c:v>0.31830000000000003</c:v>
                </c:pt>
                <c:pt idx="35">
                  <c:v>0.38900000000000001</c:v>
                </c:pt>
                <c:pt idx="36">
                  <c:v>0.32769999999999999</c:v>
                </c:pt>
                <c:pt idx="37">
                  <c:v>0.37069999999999997</c:v>
                </c:pt>
                <c:pt idx="38">
                  <c:v>0.30009999999999998</c:v>
                </c:pt>
                <c:pt idx="39">
                  <c:v>0.33389999999999997</c:v>
                </c:pt>
                <c:pt idx="40">
                  <c:v>0.3417</c:v>
                </c:pt>
                <c:pt idx="41">
                  <c:v>0.31530000000000002</c:v>
                </c:pt>
                <c:pt idx="42">
                  <c:v>0.3911</c:v>
                </c:pt>
                <c:pt idx="43">
                  <c:v>0.31340000000000001</c:v>
                </c:pt>
                <c:pt idx="44">
                  <c:v>0.3498</c:v>
                </c:pt>
                <c:pt idx="45">
                  <c:v>0.3463</c:v>
                </c:pt>
                <c:pt idx="46">
                  <c:v>0.30299999999999999</c:v>
                </c:pt>
                <c:pt idx="47">
                  <c:v>0.30020000000000002</c:v>
                </c:pt>
                <c:pt idx="48">
                  <c:v>0.38019999999999998</c:v>
                </c:pt>
                <c:pt idx="49">
                  <c:v>0.30659999999999998</c:v>
                </c:pt>
                <c:pt idx="50">
                  <c:v>0.34710000000000002</c:v>
                </c:pt>
                <c:pt idx="51">
                  <c:v>0.34110000000000001</c:v>
                </c:pt>
                <c:pt idx="52">
                  <c:v>0.30120000000000002</c:v>
                </c:pt>
                <c:pt idx="53">
                  <c:v>0.3957</c:v>
                </c:pt>
                <c:pt idx="54">
                  <c:v>0.39050000000000001</c:v>
                </c:pt>
                <c:pt idx="55">
                  <c:v>0.35759999999999997</c:v>
                </c:pt>
                <c:pt idx="56">
                  <c:v>0.39090000000000003</c:v>
                </c:pt>
                <c:pt idx="57">
                  <c:v>0.32990000000000003</c:v>
                </c:pt>
                <c:pt idx="58">
                  <c:v>0.34189999999999998</c:v>
                </c:pt>
                <c:pt idx="59">
                  <c:v>0.34150000000000003</c:v>
                </c:pt>
                <c:pt idx="60">
                  <c:v>0.3125</c:v>
                </c:pt>
                <c:pt idx="61">
                  <c:v>0.35349999999999998</c:v>
                </c:pt>
                <c:pt idx="62">
                  <c:v>0.34639999999999999</c:v>
                </c:pt>
                <c:pt idx="63">
                  <c:v>0.39539999999999997</c:v>
                </c:pt>
                <c:pt idx="64">
                  <c:v>0.34949999999999998</c:v>
                </c:pt>
                <c:pt idx="65">
                  <c:v>0.39550000000000002</c:v>
                </c:pt>
                <c:pt idx="66">
                  <c:v>0.30969999999999998</c:v>
                </c:pt>
                <c:pt idx="67">
                  <c:v>0.34389999999999998</c:v>
                </c:pt>
                <c:pt idx="68">
                  <c:v>0.35880000000000001</c:v>
                </c:pt>
                <c:pt idx="69">
                  <c:v>0.35649999999999998</c:v>
                </c:pt>
                <c:pt idx="70">
                  <c:v>0.39479999999999998</c:v>
                </c:pt>
                <c:pt idx="71">
                  <c:v>0.35270000000000001</c:v>
                </c:pt>
                <c:pt idx="72">
                  <c:v>0.30669999999999997</c:v>
                </c:pt>
                <c:pt idx="73">
                  <c:v>0.37290000000000001</c:v>
                </c:pt>
                <c:pt idx="74">
                  <c:v>0.37759999999999999</c:v>
                </c:pt>
                <c:pt idx="75">
                  <c:v>0.39950000000000002</c:v>
                </c:pt>
                <c:pt idx="76">
                  <c:v>0.32450000000000001</c:v>
                </c:pt>
                <c:pt idx="77">
                  <c:v>0.30399999999999999</c:v>
                </c:pt>
                <c:pt idx="78">
                  <c:v>0.3977</c:v>
                </c:pt>
                <c:pt idx="79">
                  <c:v>0.34570000000000001</c:v>
                </c:pt>
                <c:pt idx="80">
                  <c:v>0.36420000000000002</c:v>
                </c:pt>
                <c:pt idx="81">
                  <c:v>0.35189999999999999</c:v>
                </c:pt>
                <c:pt idx="82">
                  <c:v>0.30969999999999998</c:v>
                </c:pt>
                <c:pt idx="83">
                  <c:v>0.32390000000000002</c:v>
                </c:pt>
                <c:pt idx="84">
                  <c:v>0.39340000000000003</c:v>
                </c:pt>
                <c:pt idx="85">
                  <c:v>0.3332</c:v>
                </c:pt>
                <c:pt idx="86">
                  <c:v>0.3387</c:v>
                </c:pt>
                <c:pt idx="87">
                  <c:v>0.35770000000000002</c:v>
                </c:pt>
                <c:pt idx="88">
                  <c:v>0.32300000000000001</c:v>
                </c:pt>
                <c:pt idx="89">
                  <c:v>0.3407</c:v>
                </c:pt>
                <c:pt idx="90">
                  <c:v>0.32929999999999998</c:v>
                </c:pt>
                <c:pt idx="91">
                  <c:v>0.36609999999999998</c:v>
                </c:pt>
                <c:pt idx="92">
                  <c:v>0.38379999999999997</c:v>
                </c:pt>
                <c:pt idx="93">
                  <c:v>0.3649</c:v>
                </c:pt>
                <c:pt idx="94">
                  <c:v>0.34139999999999998</c:v>
                </c:pt>
                <c:pt idx="95">
                  <c:v>0.32019999999999998</c:v>
                </c:pt>
                <c:pt idx="96">
                  <c:v>0.3322</c:v>
                </c:pt>
                <c:pt idx="97">
                  <c:v>0.30470000000000003</c:v>
                </c:pt>
                <c:pt idx="98">
                  <c:v>0.37909999999999999</c:v>
                </c:pt>
                <c:pt idx="99">
                  <c:v>0.37419999999999998</c:v>
                </c:pt>
                <c:pt idx="100">
                  <c:v>0.3916</c:v>
                </c:pt>
                <c:pt idx="101">
                  <c:v>0.33860000000000001</c:v>
                </c:pt>
                <c:pt idx="102">
                  <c:v>0.3407</c:v>
                </c:pt>
                <c:pt idx="103">
                  <c:v>0.39279999999999998</c:v>
                </c:pt>
                <c:pt idx="104">
                  <c:v>0.35160000000000002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4-44E2-BD44-0E4AC5A1120F}"/>
            </c:ext>
          </c:extLst>
        </c:ser>
        <c:ser>
          <c:idx val="2"/>
          <c:order val="2"/>
          <c:tx>
            <c:strRef>
              <c:f>'Daily Metrics'!$W$12</c:f>
              <c:strCache>
                <c:ptCount val="1"/>
                <c:pt idx="0">
                  <c:v>Partner SCB %</c:v>
                </c:pt>
              </c:strCache>
            </c:strRef>
          </c:tx>
          <c:spPr>
            <a:solidFill>
              <a:srgbClr val="00B0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'Daily Metrics'!$A$13:$A$117</c:f>
              <c:numCache>
                <c:formatCode>dd\-mmm\-yy</c:formatCode>
                <c:ptCount val="105"/>
                <c:pt idx="0">
                  <c:v>45108</c:v>
                </c:pt>
                <c:pt idx="1">
                  <c:v>45115</c:v>
                </c:pt>
                <c:pt idx="2">
                  <c:v>45122</c:v>
                </c:pt>
                <c:pt idx="3">
                  <c:v>45129</c:v>
                </c:pt>
                <c:pt idx="4">
                  <c:v>45136</c:v>
                </c:pt>
                <c:pt idx="5">
                  <c:v>45143</c:v>
                </c:pt>
                <c:pt idx="6">
                  <c:v>45150</c:v>
                </c:pt>
                <c:pt idx="7">
                  <c:v>45157</c:v>
                </c:pt>
                <c:pt idx="8">
                  <c:v>45164</c:v>
                </c:pt>
                <c:pt idx="9">
                  <c:v>45171</c:v>
                </c:pt>
                <c:pt idx="10">
                  <c:v>45178</c:v>
                </c:pt>
                <c:pt idx="11">
                  <c:v>45185</c:v>
                </c:pt>
                <c:pt idx="12">
                  <c:v>45192</c:v>
                </c:pt>
                <c:pt idx="13">
                  <c:v>45199</c:v>
                </c:pt>
                <c:pt idx="14">
                  <c:v>45206</c:v>
                </c:pt>
                <c:pt idx="15">
                  <c:v>45213</c:v>
                </c:pt>
                <c:pt idx="16">
                  <c:v>45220</c:v>
                </c:pt>
                <c:pt idx="17">
                  <c:v>45227</c:v>
                </c:pt>
                <c:pt idx="18">
                  <c:v>45234</c:v>
                </c:pt>
                <c:pt idx="19">
                  <c:v>45241</c:v>
                </c:pt>
                <c:pt idx="20">
                  <c:v>45248</c:v>
                </c:pt>
                <c:pt idx="21">
                  <c:v>45255</c:v>
                </c:pt>
                <c:pt idx="22">
                  <c:v>45262</c:v>
                </c:pt>
                <c:pt idx="23">
                  <c:v>45269</c:v>
                </c:pt>
                <c:pt idx="24">
                  <c:v>45276</c:v>
                </c:pt>
                <c:pt idx="25">
                  <c:v>45283</c:v>
                </c:pt>
                <c:pt idx="26">
                  <c:v>45290</c:v>
                </c:pt>
                <c:pt idx="27">
                  <c:v>45297</c:v>
                </c:pt>
                <c:pt idx="28">
                  <c:v>45304</c:v>
                </c:pt>
                <c:pt idx="29">
                  <c:v>45311</c:v>
                </c:pt>
                <c:pt idx="30">
                  <c:v>45318</c:v>
                </c:pt>
                <c:pt idx="31">
                  <c:v>45325</c:v>
                </c:pt>
                <c:pt idx="32">
                  <c:v>45332</c:v>
                </c:pt>
                <c:pt idx="33">
                  <c:v>45339</c:v>
                </c:pt>
                <c:pt idx="34">
                  <c:v>45346</c:v>
                </c:pt>
                <c:pt idx="35">
                  <c:v>45353</c:v>
                </c:pt>
                <c:pt idx="36">
                  <c:v>45360</c:v>
                </c:pt>
                <c:pt idx="37">
                  <c:v>45367</c:v>
                </c:pt>
                <c:pt idx="38">
                  <c:v>45374</c:v>
                </c:pt>
                <c:pt idx="39">
                  <c:v>45381</c:v>
                </c:pt>
                <c:pt idx="40">
                  <c:v>45388</c:v>
                </c:pt>
                <c:pt idx="41">
                  <c:v>45395</c:v>
                </c:pt>
                <c:pt idx="42">
                  <c:v>45402</c:v>
                </c:pt>
                <c:pt idx="43">
                  <c:v>45409</c:v>
                </c:pt>
                <c:pt idx="44">
                  <c:v>45416</c:v>
                </c:pt>
                <c:pt idx="45">
                  <c:v>45423</c:v>
                </c:pt>
                <c:pt idx="46">
                  <c:v>45430</c:v>
                </c:pt>
                <c:pt idx="47">
                  <c:v>45437</c:v>
                </c:pt>
                <c:pt idx="48">
                  <c:v>45444</c:v>
                </c:pt>
                <c:pt idx="49">
                  <c:v>45451</c:v>
                </c:pt>
                <c:pt idx="50">
                  <c:v>45458</c:v>
                </c:pt>
                <c:pt idx="51">
                  <c:v>45465</c:v>
                </c:pt>
                <c:pt idx="52">
                  <c:v>45472</c:v>
                </c:pt>
                <c:pt idx="53">
                  <c:v>45479</c:v>
                </c:pt>
                <c:pt idx="54">
                  <c:v>45486</c:v>
                </c:pt>
                <c:pt idx="55">
                  <c:v>45493</c:v>
                </c:pt>
                <c:pt idx="56">
                  <c:v>45500</c:v>
                </c:pt>
                <c:pt idx="57">
                  <c:v>45507</c:v>
                </c:pt>
                <c:pt idx="58">
                  <c:v>45514</c:v>
                </c:pt>
                <c:pt idx="59">
                  <c:v>45521</c:v>
                </c:pt>
                <c:pt idx="60">
                  <c:v>45528</c:v>
                </c:pt>
                <c:pt idx="61">
                  <c:v>45535</c:v>
                </c:pt>
                <c:pt idx="62">
                  <c:v>45542</c:v>
                </c:pt>
                <c:pt idx="63">
                  <c:v>45549</c:v>
                </c:pt>
                <c:pt idx="64">
                  <c:v>45556</c:v>
                </c:pt>
                <c:pt idx="65">
                  <c:v>45563</c:v>
                </c:pt>
                <c:pt idx="66">
                  <c:v>45570</c:v>
                </c:pt>
                <c:pt idx="67">
                  <c:v>45577</c:v>
                </c:pt>
                <c:pt idx="68">
                  <c:v>45584</c:v>
                </c:pt>
                <c:pt idx="69">
                  <c:v>45591</c:v>
                </c:pt>
                <c:pt idx="70">
                  <c:v>45598</c:v>
                </c:pt>
                <c:pt idx="71">
                  <c:v>45605</c:v>
                </c:pt>
                <c:pt idx="72">
                  <c:v>45612</c:v>
                </c:pt>
                <c:pt idx="73">
                  <c:v>45619</c:v>
                </c:pt>
                <c:pt idx="74">
                  <c:v>45626</c:v>
                </c:pt>
                <c:pt idx="75">
                  <c:v>45633</c:v>
                </c:pt>
                <c:pt idx="76">
                  <c:v>45640</c:v>
                </c:pt>
                <c:pt idx="77">
                  <c:v>45647</c:v>
                </c:pt>
                <c:pt idx="78">
                  <c:v>45654</c:v>
                </c:pt>
                <c:pt idx="79">
                  <c:v>45661</c:v>
                </c:pt>
                <c:pt idx="80">
                  <c:v>45668</c:v>
                </c:pt>
                <c:pt idx="81">
                  <c:v>45675</c:v>
                </c:pt>
                <c:pt idx="82">
                  <c:v>45682</c:v>
                </c:pt>
                <c:pt idx="83">
                  <c:v>45689</c:v>
                </c:pt>
                <c:pt idx="84">
                  <c:v>45696</c:v>
                </c:pt>
                <c:pt idx="85">
                  <c:v>45703</c:v>
                </c:pt>
                <c:pt idx="86">
                  <c:v>45710</c:v>
                </c:pt>
                <c:pt idx="87">
                  <c:v>45717</c:v>
                </c:pt>
                <c:pt idx="88">
                  <c:v>45724</c:v>
                </c:pt>
                <c:pt idx="89">
                  <c:v>45731</c:v>
                </c:pt>
                <c:pt idx="90">
                  <c:v>45738</c:v>
                </c:pt>
                <c:pt idx="91">
                  <c:v>45745</c:v>
                </c:pt>
                <c:pt idx="92">
                  <c:v>45752</c:v>
                </c:pt>
                <c:pt idx="93">
                  <c:v>45759</c:v>
                </c:pt>
                <c:pt idx="94">
                  <c:v>45766</c:v>
                </c:pt>
                <c:pt idx="95">
                  <c:v>45773</c:v>
                </c:pt>
                <c:pt idx="96">
                  <c:v>45780</c:v>
                </c:pt>
                <c:pt idx="97">
                  <c:v>45787</c:v>
                </c:pt>
                <c:pt idx="98">
                  <c:v>45794</c:v>
                </c:pt>
                <c:pt idx="99">
                  <c:v>45801</c:v>
                </c:pt>
                <c:pt idx="100">
                  <c:v>45808</c:v>
                </c:pt>
                <c:pt idx="101">
                  <c:v>45815</c:v>
                </c:pt>
                <c:pt idx="102">
                  <c:v>45822</c:v>
                </c:pt>
                <c:pt idx="103">
                  <c:v>45829</c:v>
                </c:pt>
                <c:pt idx="104">
                  <c:v>45836</c:v>
                </c:pt>
              </c:numCache>
            </c:numRef>
          </c:cat>
          <c:val>
            <c:numRef>
              <c:f>'Daily Metrics'!$W$13:$W$117</c:f>
              <c:numCache>
                <c:formatCode>0.0%</c:formatCode>
                <c:ptCount val="105"/>
                <c:pt idx="0">
                  <c:v>0.2049</c:v>
                </c:pt>
                <c:pt idx="1">
                  <c:v>0.27660000000000001</c:v>
                </c:pt>
                <c:pt idx="2">
                  <c:v>0.1961</c:v>
                </c:pt>
                <c:pt idx="3">
                  <c:v>0.21290000000000001</c:v>
                </c:pt>
                <c:pt idx="4">
                  <c:v>0.23599999999999999</c:v>
                </c:pt>
                <c:pt idx="5">
                  <c:v>0.26950000000000002</c:v>
                </c:pt>
                <c:pt idx="6">
                  <c:v>0.2268</c:v>
                </c:pt>
                <c:pt idx="7">
                  <c:v>0.28439999999999999</c:v>
                </c:pt>
                <c:pt idx="8">
                  <c:v>0.34160000000000001</c:v>
                </c:pt>
                <c:pt idx="9">
                  <c:v>0.21560000000000001</c:v>
                </c:pt>
                <c:pt idx="10">
                  <c:v>0.25</c:v>
                </c:pt>
                <c:pt idx="11">
                  <c:v>0.17280000000000001</c:v>
                </c:pt>
                <c:pt idx="12">
                  <c:v>0.18590000000000001</c:v>
                </c:pt>
                <c:pt idx="13">
                  <c:v>0.22170000000000001</c:v>
                </c:pt>
                <c:pt idx="14">
                  <c:v>0.20760000000000001</c:v>
                </c:pt>
                <c:pt idx="15">
                  <c:v>0.31440000000000001</c:v>
                </c:pt>
                <c:pt idx="16">
                  <c:v>0.30570000000000003</c:v>
                </c:pt>
                <c:pt idx="17">
                  <c:v>0.25690000000000002</c:v>
                </c:pt>
                <c:pt idx="18">
                  <c:v>0.25069999999999998</c:v>
                </c:pt>
                <c:pt idx="19">
                  <c:v>0.33910000000000001</c:v>
                </c:pt>
                <c:pt idx="20">
                  <c:v>0.22789999999999999</c:v>
                </c:pt>
                <c:pt idx="21">
                  <c:v>0.24010000000000001</c:v>
                </c:pt>
                <c:pt idx="22">
                  <c:v>0.24629999999999999</c:v>
                </c:pt>
                <c:pt idx="23">
                  <c:v>0.2482</c:v>
                </c:pt>
                <c:pt idx="24">
                  <c:v>0.192</c:v>
                </c:pt>
                <c:pt idx="25">
                  <c:v>0.25369999999999998</c:v>
                </c:pt>
                <c:pt idx="26">
                  <c:v>0.22040000000000001</c:v>
                </c:pt>
                <c:pt idx="27">
                  <c:v>0.25359999999999999</c:v>
                </c:pt>
                <c:pt idx="28">
                  <c:v>0.28820000000000001</c:v>
                </c:pt>
                <c:pt idx="29">
                  <c:v>0.31690000000000002</c:v>
                </c:pt>
                <c:pt idx="30">
                  <c:v>0.20880000000000001</c:v>
                </c:pt>
                <c:pt idx="31">
                  <c:v>0.26140000000000002</c:v>
                </c:pt>
                <c:pt idx="32">
                  <c:v>0.22869999999999999</c:v>
                </c:pt>
                <c:pt idx="33">
                  <c:v>0.26690000000000003</c:v>
                </c:pt>
                <c:pt idx="34">
                  <c:v>0.29530000000000001</c:v>
                </c:pt>
                <c:pt idx="35">
                  <c:v>0.25319999999999998</c:v>
                </c:pt>
                <c:pt idx="36">
                  <c:v>0.2442</c:v>
                </c:pt>
                <c:pt idx="37">
                  <c:v>0.1867</c:v>
                </c:pt>
                <c:pt idx="38">
                  <c:v>0.27950000000000003</c:v>
                </c:pt>
                <c:pt idx="39">
                  <c:v>0.22389999999999999</c:v>
                </c:pt>
                <c:pt idx="40">
                  <c:v>0.22800000000000001</c:v>
                </c:pt>
                <c:pt idx="41">
                  <c:v>0.26679999999999998</c:v>
                </c:pt>
                <c:pt idx="42">
                  <c:v>0.1729</c:v>
                </c:pt>
                <c:pt idx="43">
                  <c:v>0.24929999999999999</c:v>
                </c:pt>
                <c:pt idx="44">
                  <c:v>0.27560000000000001</c:v>
                </c:pt>
                <c:pt idx="45">
                  <c:v>0.27360000000000001</c:v>
                </c:pt>
                <c:pt idx="46">
                  <c:v>0.31080000000000002</c:v>
                </c:pt>
                <c:pt idx="47">
                  <c:v>0.27579999999999999</c:v>
                </c:pt>
                <c:pt idx="48">
                  <c:v>0.21929999999999999</c:v>
                </c:pt>
                <c:pt idx="49">
                  <c:v>0.28079999999999999</c:v>
                </c:pt>
                <c:pt idx="50">
                  <c:v>0.29480000000000001</c:v>
                </c:pt>
                <c:pt idx="51">
                  <c:v>0.22289999999999999</c:v>
                </c:pt>
                <c:pt idx="52">
                  <c:v>0.28339999999999999</c:v>
                </c:pt>
                <c:pt idx="53">
                  <c:v>0.17799999999999999</c:v>
                </c:pt>
                <c:pt idx="54">
                  <c:v>0.17380000000000001</c:v>
                </c:pt>
                <c:pt idx="55">
                  <c:v>0.2198</c:v>
                </c:pt>
                <c:pt idx="56">
                  <c:v>0.25019999999999998</c:v>
                </c:pt>
                <c:pt idx="57">
                  <c:v>0.28050000000000003</c:v>
                </c:pt>
                <c:pt idx="58">
                  <c:v>0.30130000000000001</c:v>
                </c:pt>
                <c:pt idx="59">
                  <c:v>0.2198</c:v>
                </c:pt>
                <c:pt idx="60">
                  <c:v>0.2397</c:v>
                </c:pt>
                <c:pt idx="61">
                  <c:v>0.24959999999999999</c:v>
                </c:pt>
                <c:pt idx="62">
                  <c:v>0.22420000000000001</c:v>
                </c:pt>
                <c:pt idx="63">
                  <c:v>0.17519999999999999</c:v>
                </c:pt>
                <c:pt idx="64">
                  <c:v>0.29299999999999998</c:v>
                </c:pt>
                <c:pt idx="65">
                  <c:v>0.2351</c:v>
                </c:pt>
                <c:pt idx="66">
                  <c:v>0.32819999999999999</c:v>
                </c:pt>
                <c:pt idx="67">
                  <c:v>0.22600000000000001</c:v>
                </c:pt>
                <c:pt idx="68">
                  <c:v>0.2641</c:v>
                </c:pt>
                <c:pt idx="69">
                  <c:v>0.19420000000000001</c:v>
                </c:pt>
                <c:pt idx="70">
                  <c:v>0.22700000000000001</c:v>
                </c:pt>
                <c:pt idx="71">
                  <c:v>0.2218</c:v>
                </c:pt>
                <c:pt idx="72">
                  <c:v>0.28389999999999999</c:v>
                </c:pt>
                <c:pt idx="73">
                  <c:v>0.22700000000000001</c:v>
                </c:pt>
                <c:pt idx="74">
                  <c:v>0.21690000000000001</c:v>
                </c:pt>
                <c:pt idx="75">
                  <c:v>0.19339999999999999</c:v>
                </c:pt>
                <c:pt idx="76">
                  <c:v>0.27939999999999998</c:v>
                </c:pt>
                <c:pt idx="77">
                  <c:v>0.3004</c:v>
                </c:pt>
                <c:pt idx="78">
                  <c:v>0.24490000000000001</c:v>
                </c:pt>
                <c:pt idx="79">
                  <c:v>0.29310000000000003</c:v>
                </c:pt>
                <c:pt idx="80">
                  <c:v>0.2492</c:v>
                </c:pt>
                <c:pt idx="81">
                  <c:v>0.26050000000000001</c:v>
                </c:pt>
                <c:pt idx="82">
                  <c:v>0.28239999999999998</c:v>
                </c:pt>
                <c:pt idx="83">
                  <c:v>0.28949999999999998</c:v>
                </c:pt>
                <c:pt idx="84">
                  <c:v>0.2525</c:v>
                </c:pt>
                <c:pt idx="85">
                  <c:v>0.22989999999999999</c:v>
                </c:pt>
                <c:pt idx="86">
                  <c:v>0.23960000000000001</c:v>
                </c:pt>
                <c:pt idx="87">
                  <c:v>0.23680000000000001</c:v>
                </c:pt>
                <c:pt idx="88">
                  <c:v>0.32340000000000002</c:v>
                </c:pt>
                <c:pt idx="89">
                  <c:v>0.24540000000000001</c:v>
                </c:pt>
                <c:pt idx="90">
                  <c:v>0.23039999999999999</c:v>
                </c:pt>
                <c:pt idx="91">
                  <c:v>0.22339999999999999</c:v>
                </c:pt>
                <c:pt idx="92">
                  <c:v>0.2046</c:v>
                </c:pt>
                <c:pt idx="93">
                  <c:v>0.2102</c:v>
                </c:pt>
                <c:pt idx="94">
                  <c:v>0.26540000000000002</c:v>
                </c:pt>
                <c:pt idx="95">
                  <c:v>0.2329</c:v>
                </c:pt>
                <c:pt idx="96">
                  <c:v>0.27200000000000002</c:v>
                </c:pt>
                <c:pt idx="97">
                  <c:v>0.32029999999999997</c:v>
                </c:pt>
                <c:pt idx="98">
                  <c:v>0.1903</c:v>
                </c:pt>
                <c:pt idx="99">
                  <c:v>0.25929999999999997</c:v>
                </c:pt>
                <c:pt idx="100">
                  <c:v>0.20530000000000001</c:v>
                </c:pt>
                <c:pt idx="101">
                  <c:v>0.2351</c:v>
                </c:pt>
                <c:pt idx="102">
                  <c:v>0.27150000000000002</c:v>
                </c:pt>
                <c:pt idx="103">
                  <c:v>0.20380000000000001</c:v>
                </c:pt>
                <c:pt idx="104">
                  <c:v>0.28539999999999999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4-44E2-BD44-0E4AC5A11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80028"/>
        <c:axId val="56225111"/>
      </c:barChart>
      <c:dateAx>
        <c:axId val="50980028"/>
        <c:scaling>
          <c:orientation val="minMax"/>
        </c:scaling>
        <c:delete val="0"/>
        <c:axPos val="b"/>
        <c:numFmt formatCode="dd\-mmm\-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6225111"/>
        <c:crosses val="autoZero"/>
        <c:auto val="1"/>
        <c:lblOffset val="100"/>
        <c:baseTimeUnit val="days"/>
      </c:dateAx>
      <c:valAx>
        <c:axId val="562251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% of Portfolio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zh-CN"/>
          </a:p>
        </c:txPr>
        <c:crossAx val="509800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15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932619</xdr:colOff>
      <xdr:row>8</xdr:row>
      <xdr:rowOff>180798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44FA22F-8228-3689-2024-8E252A9FA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300"/>
          <a:ext cx="6647619" cy="14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31750</xdr:rowOff>
    </xdr:from>
    <xdr:to>
      <xdr:col>6</xdr:col>
      <xdr:colOff>895350</xdr:colOff>
      <xdr:row>33</xdr:row>
      <xdr:rowOff>109960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8DB8C36-67DC-36F6-C6DB-B0DC8CD12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6000"/>
          <a:ext cx="8845550" cy="3392910"/>
        </a:xfrm>
        <a:prstGeom prst="rect">
          <a:avLst/>
        </a:prstGeom>
      </xdr:spPr>
    </xdr:pic>
    <xdr:clientData/>
  </xdr:twoCellAnchor>
  <xdr:twoCellAnchor editAs="oneCell">
    <xdr:from>
      <xdr:col>4</xdr:col>
      <xdr:colOff>1069081</xdr:colOff>
      <xdr:row>1</xdr:row>
      <xdr:rowOff>228600</xdr:rowOff>
    </xdr:from>
    <xdr:to>
      <xdr:col>12</xdr:col>
      <xdr:colOff>16742</xdr:colOff>
      <xdr:row>10</xdr:row>
      <xdr:rowOff>171450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A2B7654-895C-2F6D-7FD7-336774286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84081" y="419100"/>
          <a:ext cx="5831061" cy="2362200"/>
        </a:xfrm>
        <a:prstGeom prst="rect">
          <a:avLst/>
        </a:prstGeom>
      </xdr:spPr>
    </xdr:pic>
    <xdr:clientData/>
  </xdr:twoCellAnchor>
  <xdr:twoCellAnchor editAs="oneCell">
    <xdr:from>
      <xdr:col>4</xdr:col>
      <xdr:colOff>749300</xdr:colOff>
      <xdr:row>42</xdr:row>
      <xdr:rowOff>95250</xdr:rowOff>
    </xdr:from>
    <xdr:to>
      <xdr:col>13</xdr:col>
      <xdr:colOff>234078</xdr:colOff>
      <xdr:row>52</xdr:row>
      <xdr:rowOff>47393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75C0DE9-7876-4798-B532-E641FCDF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64300" y="8870950"/>
          <a:ext cx="6971428" cy="18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</xdr:row>
      <xdr:rowOff>63500</xdr:rowOff>
    </xdr:from>
    <xdr:to>
      <xdr:col>16</xdr:col>
      <xdr:colOff>367043</xdr:colOff>
      <xdr:row>5</xdr:row>
      <xdr:rowOff>79281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2579F39-7FE2-6039-3CE0-4D937B024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47650"/>
          <a:ext cx="10057143" cy="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0</xdr:rowOff>
    </xdr:from>
    <xdr:to>
      <xdr:col>13</xdr:col>
      <xdr:colOff>250390</xdr:colOff>
      <xdr:row>87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88</xdr:row>
      <xdr:rowOff>158750</xdr:rowOff>
    </xdr:from>
    <xdr:to>
      <xdr:col>13</xdr:col>
      <xdr:colOff>250390</xdr:colOff>
      <xdr:row>115</xdr:row>
      <xdr:rowOff>61000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13</xdr:row>
      <xdr:rowOff>63500</xdr:rowOff>
    </xdr:from>
    <xdr:to>
      <xdr:col>4</xdr:col>
      <xdr:colOff>552450</xdr:colOff>
      <xdr:row>18</xdr:row>
      <xdr:rowOff>19362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B64AAD71-F2C3-9376-7F9F-FA3EAC3E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463800"/>
          <a:ext cx="4178300" cy="8829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44450</xdr:rowOff>
    </xdr:from>
    <xdr:to>
      <xdr:col>11</xdr:col>
      <xdr:colOff>497226</xdr:colOff>
      <xdr:row>27</xdr:row>
      <xdr:rowOff>6148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3E8EEA7-E6DD-F3DB-5F54-0EE99C2D6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65500"/>
          <a:ext cx="9990476" cy="16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0</xdr:row>
      <xdr:rowOff>0</xdr:rowOff>
    </xdr:from>
    <xdr:to>
      <xdr:col>5</xdr:col>
      <xdr:colOff>780324</xdr:colOff>
      <xdr:row>12</xdr:row>
      <xdr:rowOff>95250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CC7C48E-57C4-8C5A-397C-BE9A1614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500" y="0"/>
          <a:ext cx="5180874" cy="2305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12</xdr:col>
      <xdr:colOff>495770</xdr:colOff>
      <xdr:row>65</xdr:row>
      <xdr:rowOff>86400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0</xdr:row>
      <xdr:rowOff>1</xdr:rowOff>
    </xdr:from>
    <xdr:to>
      <xdr:col>5</xdr:col>
      <xdr:colOff>203201</xdr:colOff>
      <xdr:row>5</xdr:row>
      <xdr:rowOff>53809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680774F-5C94-499A-4EE8-951EF4A02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4629150" cy="97455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14</xdr:row>
      <xdr:rowOff>169099</xdr:rowOff>
    </xdr:from>
    <xdr:to>
      <xdr:col>8</xdr:col>
      <xdr:colOff>127000</xdr:colOff>
      <xdr:row>22</xdr:row>
      <xdr:rowOff>79145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1E3F67A-CE97-5EC5-DC3E-5F9791A7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2709099"/>
          <a:ext cx="7162800" cy="14340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13</xdr:col>
      <xdr:colOff>239760</xdr:colOff>
      <xdr:row>64</xdr:row>
      <xdr:rowOff>86400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25400</xdr:rowOff>
    </xdr:from>
    <xdr:to>
      <xdr:col>8</xdr:col>
      <xdr:colOff>402214</xdr:colOff>
      <xdr:row>23</xdr:row>
      <xdr:rowOff>44257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19C93C2-C736-4AB9-A4DD-E58914447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1000"/>
          <a:ext cx="8085714" cy="15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108112</xdr:colOff>
      <xdr:row>1</xdr:row>
      <xdr:rowOff>44450</xdr:rowOff>
    </xdr:from>
    <xdr:to>
      <xdr:col>14</xdr:col>
      <xdr:colOff>560988</xdr:colOff>
      <xdr:row>10</xdr:row>
      <xdr:rowOff>107576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E8DF5FA-29C5-9351-93D6-731E277CE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1612" y="228600"/>
          <a:ext cx="4542276" cy="1720476"/>
        </a:xfrm>
        <a:prstGeom prst="rect">
          <a:avLst/>
        </a:prstGeom>
      </xdr:spPr>
    </xdr:pic>
    <xdr:clientData/>
  </xdr:twoCellAnchor>
  <xdr:twoCellAnchor>
    <xdr:from>
      <xdr:col>6</xdr:col>
      <xdr:colOff>1467827</xdr:colOff>
      <xdr:row>9</xdr:row>
      <xdr:rowOff>95454</xdr:rowOff>
    </xdr:from>
    <xdr:to>
      <xdr:col>8</xdr:col>
      <xdr:colOff>212577</xdr:colOff>
      <xdr:row>11</xdr:row>
      <xdr:rowOff>129105</xdr:rowOff>
    </xdr:to>
    <xdr:sp macro="" textlink="">
      <xdr:nvSpPr>
        <xdr:cNvPr id="5" name="箭头: 下 4">
          <a:extLst>
            <a:ext uri="{FF2B5EF4-FFF2-40B4-BE49-F238E27FC236}">
              <a16:creationId xmlns:a16="http://schemas.microsoft.com/office/drawing/2014/main" id="{DBFB37CA-1672-2657-68FA-34CA1E2FD093}"/>
            </a:ext>
          </a:extLst>
        </xdr:cNvPr>
        <xdr:cNvSpPr/>
      </xdr:nvSpPr>
      <xdr:spPr>
        <a:xfrm rot="3529550">
          <a:off x="6992401" y="1257430"/>
          <a:ext cx="408301" cy="1399050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120650</xdr:rowOff>
    </xdr:from>
    <xdr:to>
      <xdr:col>7</xdr:col>
      <xdr:colOff>523012</xdr:colOff>
      <xdr:row>17</xdr:row>
      <xdr:rowOff>25221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CB126C-0F62-E0F2-9B8C-9870C0524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700"/>
          <a:ext cx="6904762" cy="142857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10</xdr:row>
      <xdr:rowOff>171450</xdr:rowOff>
    </xdr:from>
    <xdr:to>
      <xdr:col>3</xdr:col>
      <xdr:colOff>1907169</xdr:colOff>
      <xdr:row>17</xdr:row>
      <xdr:rowOff>142712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94CAEE1-5AE1-A803-BF3C-FD4F17185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050" y="2178050"/>
          <a:ext cx="8047619" cy="130476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119</xdr:row>
      <xdr:rowOff>0</xdr:rowOff>
    </xdr:from>
    <xdr:to>
      <xdr:col>11</xdr:col>
      <xdr:colOff>101160</xdr:colOff>
      <xdr:row>147</xdr:row>
      <xdr:rowOff>65880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135</xdr:row>
      <xdr:rowOff>0</xdr:rowOff>
    </xdr:from>
    <xdr:to>
      <xdr:col>11</xdr:col>
      <xdr:colOff>101160</xdr:colOff>
      <xdr:row>163</xdr:row>
      <xdr:rowOff>65520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151</xdr:row>
      <xdr:rowOff>0</xdr:rowOff>
    </xdr:from>
    <xdr:to>
      <xdr:col>11</xdr:col>
      <xdr:colOff>101160</xdr:colOff>
      <xdr:row>179</xdr:row>
      <xdr:rowOff>65520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167</xdr:row>
      <xdr:rowOff>0</xdr:rowOff>
    </xdr:from>
    <xdr:to>
      <xdr:col>11</xdr:col>
      <xdr:colOff>101160</xdr:colOff>
      <xdr:row>195</xdr:row>
      <xdr:rowOff>65880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183</xdr:row>
      <xdr:rowOff>0</xdr:rowOff>
    </xdr:from>
    <xdr:to>
      <xdr:col>11</xdr:col>
      <xdr:colOff>101160</xdr:colOff>
      <xdr:row>211</xdr:row>
      <xdr:rowOff>65520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199</xdr:row>
      <xdr:rowOff>0</xdr:rowOff>
    </xdr:from>
    <xdr:to>
      <xdr:col>11</xdr:col>
      <xdr:colOff>101160</xdr:colOff>
      <xdr:row>227</xdr:row>
      <xdr:rowOff>65520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336550</xdr:colOff>
      <xdr:row>15</xdr:row>
      <xdr:rowOff>19050</xdr:rowOff>
    </xdr:from>
    <xdr:to>
      <xdr:col>9</xdr:col>
      <xdr:colOff>878359</xdr:colOff>
      <xdr:row>25</xdr:row>
      <xdr:rowOff>158502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8F8AF66-51BA-D81A-75AB-13E8C9E66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4750" y="3028950"/>
          <a:ext cx="8923809" cy="19809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11</xdr:col>
      <xdr:colOff>316314</xdr:colOff>
      <xdr:row>17</xdr:row>
      <xdr:rowOff>142690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AD7894A-4707-DF75-970C-D978674F6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8500"/>
          <a:ext cx="9485714" cy="147619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55653</xdr:colOff>
      <xdr:row>3</xdr:row>
      <xdr:rowOff>123825</xdr:rowOff>
    </xdr:from>
    <xdr:to>
      <xdr:col>16</xdr:col>
      <xdr:colOff>494217</xdr:colOff>
      <xdr:row>23</xdr:row>
      <xdr:rowOff>18318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A8B5205-5B5F-E578-7251-E46646A39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23578" y="666750"/>
          <a:ext cx="5315364" cy="3542568"/>
        </a:xfrm>
        <a:prstGeom prst="rect">
          <a:avLst/>
        </a:prstGeom>
      </xdr:spPr>
    </xdr:pic>
    <xdr:clientData/>
  </xdr:twoCellAnchor>
  <xdr:twoCellAnchor editAs="oneCell">
    <xdr:from>
      <xdr:col>4</xdr:col>
      <xdr:colOff>485599</xdr:colOff>
      <xdr:row>20</xdr:row>
      <xdr:rowOff>95250</xdr:rowOff>
    </xdr:from>
    <xdr:to>
      <xdr:col>15</xdr:col>
      <xdr:colOff>189311</xdr:colOff>
      <xdr:row>33</xdr:row>
      <xdr:rowOff>28144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EED8A25-D9E8-D839-7827-68E83158B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72074" y="3743325"/>
          <a:ext cx="6409312" cy="2285569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139701</xdr:colOff>
      <xdr:row>20</xdr:row>
      <xdr:rowOff>139700</xdr:rowOff>
    </xdr:from>
    <xdr:to>
      <xdr:col>1</xdr:col>
      <xdr:colOff>3945382</xdr:colOff>
      <xdr:row>38</xdr:row>
      <xdr:rowOff>69243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FA13753-ED09-FF83-8D97-11CA55A2A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1" y="4210050"/>
          <a:ext cx="6101206" cy="323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87"/>
  <sheetViews>
    <sheetView showGridLines="0" topLeftCell="A14" zoomScaleNormal="100" workbookViewId="0">
      <selection activeCell="A40" sqref="A40"/>
    </sheetView>
  </sheetViews>
  <sheetFormatPr defaultColWidth="8.6328125" defaultRowHeight="14.5" x14ac:dyDescent="0.35"/>
  <cols>
    <col min="1" max="1" width="30" customWidth="1"/>
    <col min="2" max="2" width="10" customWidth="1"/>
    <col min="3" max="3" width="22" customWidth="1"/>
    <col min="4" max="4" width="19.81640625" customWidth="1"/>
    <col min="5" max="8" width="16" customWidth="1"/>
  </cols>
  <sheetData>
    <row r="1" spans="1:9" ht="15" x14ac:dyDescent="0.35">
      <c r="A1" s="45" t="s">
        <v>251</v>
      </c>
      <c r="C1" s="70" t="s">
        <v>348</v>
      </c>
      <c r="D1" s="69"/>
      <c r="E1" s="69"/>
      <c r="F1" s="69"/>
    </row>
    <row r="2" spans="1:9" ht="34.5" customHeight="1" x14ac:dyDescent="0.35">
      <c r="A2" s="89" t="s">
        <v>0</v>
      </c>
      <c r="B2" s="89"/>
      <c r="C2" s="89"/>
      <c r="D2" s="89"/>
      <c r="E2" s="89"/>
      <c r="F2" s="89"/>
      <c r="G2" s="89"/>
      <c r="H2" s="89"/>
    </row>
    <row r="3" spans="1:9" ht="19.5" customHeight="1" x14ac:dyDescent="0.35">
      <c r="A3" s="90" t="s">
        <v>1</v>
      </c>
      <c r="B3" s="90"/>
      <c r="C3" s="90"/>
      <c r="D3" s="90"/>
      <c r="E3" s="90"/>
      <c r="F3" s="90"/>
      <c r="G3" s="90"/>
      <c r="H3" s="90"/>
    </row>
    <row r="4" spans="1:9" ht="19.5" customHeight="1" x14ac:dyDescent="0.35">
      <c r="A4" s="2"/>
      <c r="B4" s="2"/>
      <c r="C4" s="2"/>
      <c r="D4" s="2"/>
      <c r="E4" s="2"/>
      <c r="F4" s="2"/>
      <c r="G4" s="2"/>
      <c r="H4" s="2"/>
    </row>
    <row r="5" spans="1:9" ht="19.5" customHeight="1" x14ac:dyDescent="0.35">
      <c r="A5" s="2"/>
      <c r="B5" s="2"/>
      <c r="C5" s="2"/>
      <c r="D5" s="2"/>
      <c r="E5" s="2"/>
      <c r="F5" s="2"/>
      <c r="G5" s="2"/>
      <c r="H5" s="2"/>
    </row>
    <row r="6" spans="1:9" ht="19.5" customHeight="1" x14ac:dyDescent="0.35">
      <c r="A6" s="2"/>
      <c r="B6" s="2"/>
      <c r="C6" s="2"/>
      <c r="D6" s="2"/>
      <c r="E6" s="2"/>
      <c r="F6" s="2"/>
      <c r="G6" s="2"/>
      <c r="H6" s="2"/>
    </row>
    <row r="7" spans="1:9" ht="19.5" customHeight="1" x14ac:dyDescent="0.35">
      <c r="A7" s="2"/>
      <c r="B7" s="2"/>
      <c r="C7" s="2"/>
      <c r="D7" s="2"/>
      <c r="E7" s="2"/>
      <c r="F7" s="2"/>
      <c r="G7" s="2"/>
      <c r="H7" s="2"/>
    </row>
    <row r="8" spans="1:9" ht="19.5" customHeight="1" x14ac:dyDescent="0.35">
      <c r="A8" s="2"/>
      <c r="B8" s="2"/>
      <c r="C8" s="2"/>
      <c r="D8" s="2"/>
      <c r="E8" s="2"/>
      <c r="F8" s="2"/>
      <c r="G8" s="2"/>
      <c r="H8" s="2"/>
    </row>
    <row r="9" spans="1:9" ht="19.5" customHeight="1" x14ac:dyDescent="0.35">
      <c r="A9" s="2"/>
      <c r="B9" s="2"/>
      <c r="C9" s="2"/>
      <c r="D9" s="2"/>
      <c r="E9" s="2"/>
      <c r="F9" s="2"/>
      <c r="G9" s="2"/>
      <c r="H9" s="2"/>
    </row>
    <row r="10" spans="1:9" ht="19.5" customHeight="1" x14ac:dyDescent="0.35">
      <c r="A10" s="2"/>
      <c r="B10" s="2"/>
      <c r="C10" s="2"/>
      <c r="D10" s="2"/>
      <c r="E10" s="2"/>
      <c r="F10" s="2"/>
      <c r="G10" s="2"/>
      <c r="H10" s="2"/>
    </row>
    <row r="11" spans="1:9" ht="19.5" customHeight="1" x14ac:dyDescent="0.35">
      <c r="A11" s="2"/>
      <c r="B11" s="2"/>
      <c r="C11" s="2"/>
      <c r="D11" s="2"/>
      <c r="E11" s="2"/>
      <c r="F11" s="2"/>
      <c r="G11" s="2"/>
      <c r="H11" s="2"/>
    </row>
    <row r="12" spans="1:9" s="42" customFormat="1" x14ac:dyDescent="0.35">
      <c r="A12" s="43" t="s">
        <v>260</v>
      </c>
      <c r="B12" s="43" t="s">
        <v>247</v>
      </c>
      <c r="C12" s="43" t="s">
        <v>247</v>
      </c>
      <c r="D12" s="43" t="s">
        <v>247</v>
      </c>
      <c r="E12" s="43" t="s">
        <v>247</v>
      </c>
    </row>
    <row r="13" spans="1:9" ht="15" customHeight="1" x14ac:dyDescent="0.35">
      <c r="A13" s="3" t="s">
        <v>414</v>
      </c>
      <c r="B13" s="3" t="s">
        <v>415</v>
      </c>
      <c r="C13" s="3" t="s">
        <v>416</v>
      </c>
      <c r="D13" s="3" t="s">
        <v>417</v>
      </c>
      <c r="E13" s="3" t="s">
        <v>418</v>
      </c>
      <c r="F13" s="3" t="s">
        <v>419</v>
      </c>
      <c r="G13" s="3" t="s">
        <v>420</v>
      </c>
      <c r="H13" s="3" t="s">
        <v>421</v>
      </c>
    </row>
    <row r="14" spans="1:9" ht="17.25" customHeight="1" x14ac:dyDescent="0.4">
      <c r="A14" s="4" t="s">
        <v>10</v>
      </c>
      <c r="B14" s="4" t="s">
        <v>11</v>
      </c>
      <c r="C14" s="4" t="s">
        <v>12</v>
      </c>
      <c r="D14" s="4" t="s">
        <v>13</v>
      </c>
      <c r="E14" s="4">
        <v>12</v>
      </c>
      <c r="F14" s="4" t="s">
        <v>15</v>
      </c>
      <c r="G14" s="4" t="s">
        <v>16</v>
      </c>
      <c r="H14" s="4" t="s">
        <v>17</v>
      </c>
      <c r="I14" s="44"/>
    </row>
    <row r="15" spans="1:9" s="58" customFormat="1" ht="25.5" x14ac:dyDescent="0.35">
      <c r="A15" s="59" t="s">
        <v>320</v>
      </c>
      <c r="B15" s="59" t="s">
        <v>321</v>
      </c>
      <c r="C15" s="59" t="s">
        <v>322</v>
      </c>
      <c r="D15" s="59" t="s">
        <v>323</v>
      </c>
      <c r="E15" s="59" t="s">
        <v>324</v>
      </c>
      <c r="F15" s="59" t="s">
        <v>325</v>
      </c>
      <c r="G15" s="59" t="s">
        <v>326</v>
      </c>
      <c r="H15" s="59" t="s">
        <v>327</v>
      </c>
    </row>
    <row r="16" spans="1:9" s="58" customFormat="1" x14ac:dyDescent="0.35">
      <c r="A16" s="59"/>
      <c r="B16" s="59"/>
      <c r="C16" s="59"/>
      <c r="D16" s="59"/>
      <c r="E16" s="59"/>
      <c r="F16" s="59"/>
      <c r="G16" s="59"/>
      <c r="H16" s="59"/>
    </row>
    <row r="17" spans="1:8" s="58" customFormat="1" x14ac:dyDescent="0.35">
      <c r="A17" s="59"/>
      <c r="B17" s="59"/>
      <c r="C17" s="59"/>
      <c r="D17" s="59"/>
      <c r="E17" s="59"/>
      <c r="F17" s="59"/>
      <c r="G17" s="59"/>
      <c r="H17" s="59"/>
    </row>
    <row r="18" spans="1:8" s="58" customFormat="1" x14ac:dyDescent="0.35">
      <c r="A18" s="59"/>
      <c r="B18" s="59"/>
      <c r="C18" s="59"/>
      <c r="D18" s="59"/>
      <c r="E18" s="59"/>
      <c r="F18" s="59"/>
      <c r="G18" s="59"/>
      <c r="H18" s="59"/>
    </row>
    <row r="19" spans="1:8" s="58" customFormat="1" x14ac:dyDescent="0.35">
      <c r="A19" s="59"/>
      <c r="B19" s="59"/>
      <c r="C19" s="59"/>
      <c r="D19" s="59"/>
      <c r="E19" s="59"/>
      <c r="F19" s="59"/>
      <c r="G19" s="59"/>
      <c r="H19" s="59"/>
    </row>
    <row r="20" spans="1:8" s="58" customFormat="1" x14ac:dyDescent="0.35">
      <c r="A20" s="59"/>
      <c r="B20" s="59"/>
      <c r="C20" s="59"/>
      <c r="D20" s="59"/>
      <c r="E20" s="59"/>
      <c r="F20" s="59"/>
      <c r="G20" s="59"/>
      <c r="H20" s="59"/>
    </row>
    <row r="21" spans="1:8" s="58" customFormat="1" x14ac:dyDescent="0.35">
      <c r="A21" s="59"/>
      <c r="B21" s="59"/>
      <c r="C21" s="59"/>
      <c r="D21" s="59"/>
      <c r="E21" s="59"/>
      <c r="F21" s="59"/>
      <c r="G21" s="59"/>
      <c r="H21" s="59"/>
    </row>
    <row r="22" spans="1:8" s="58" customFormat="1" x14ac:dyDescent="0.35">
      <c r="A22" s="59"/>
      <c r="B22" s="59"/>
      <c r="C22" s="59"/>
      <c r="D22" s="59"/>
      <c r="E22" s="59"/>
      <c r="F22" s="59"/>
      <c r="G22" s="59"/>
      <c r="H22" s="59"/>
    </row>
    <row r="23" spans="1:8" s="58" customFormat="1" x14ac:dyDescent="0.35">
      <c r="A23" s="59"/>
      <c r="B23" s="59"/>
      <c r="C23" s="59"/>
      <c r="D23" s="59"/>
      <c r="E23" s="59"/>
      <c r="F23" s="59"/>
      <c r="G23" s="59"/>
      <c r="H23" s="59"/>
    </row>
    <row r="24" spans="1:8" s="58" customFormat="1" x14ac:dyDescent="0.35">
      <c r="A24" s="59"/>
      <c r="B24" s="59"/>
      <c r="C24" s="59"/>
      <c r="D24" s="59"/>
      <c r="E24" s="59"/>
      <c r="F24" s="59"/>
      <c r="G24" s="59"/>
      <c r="H24" s="59"/>
    </row>
    <row r="25" spans="1:8" s="58" customFormat="1" x14ac:dyDescent="0.35">
      <c r="A25" s="59"/>
      <c r="B25" s="59"/>
      <c r="C25" s="59"/>
      <c r="D25" s="59"/>
      <c r="E25" s="59"/>
      <c r="F25" s="59"/>
      <c r="G25" s="59"/>
      <c r="H25" s="59"/>
    </row>
    <row r="26" spans="1:8" s="58" customFormat="1" x14ac:dyDescent="0.35">
      <c r="A26" s="59"/>
      <c r="B26" s="59"/>
      <c r="C26" s="59"/>
      <c r="D26" s="59"/>
      <c r="E26" s="59"/>
      <c r="F26" s="59"/>
      <c r="G26" s="59"/>
      <c r="H26" s="59"/>
    </row>
    <row r="27" spans="1:8" s="58" customFormat="1" x14ac:dyDescent="0.35">
      <c r="A27" s="59"/>
      <c r="B27" s="59"/>
      <c r="C27" s="59"/>
      <c r="D27" s="59"/>
      <c r="E27" s="59"/>
      <c r="F27" s="59"/>
      <c r="G27" s="59"/>
      <c r="H27" s="59"/>
    </row>
    <row r="28" spans="1:8" s="58" customFormat="1" x14ac:dyDescent="0.35">
      <c r="A28" s="59"/>
      <c r="B28" s="59"/>
      <c r="C28" s="59"/>
      <c r="D28" s="59"/>
      <c r="E28" s="59"/>
      <c r="F28" s="59"/>
      <c r="G28" s="59"/>
      <c r="H28" s="59"/>
    </row>
    <row r="29" spans="1:8" s="58" customFormat="1" x14ac:dyDescent="0.35">
      <c r="A29" s="59"/>
      <c r="B29" s="59"/>
      <c r="C29" s="59"/>
      <c r="D29" s="59"/>
      <c r="E29" s="59"/>
      <c r="F29" s="59"/>
      <c r="G29" s="59"/>
      <c r="H29" s="59"/>
    </row>
    <row r="30" spans="1:8" s="58" customFormat="1" x14ac:dyDescent="0.35">
      <c r="A30" s="59"/>
      <c r="B30" s="59"/>
      <c r="C30" s="59"/>
      <c r="D30" s="59"/>
      <c r="E30" s="59"/>
      <c r="F30" s="59"/>
      <c r="G30" s="59"/>
      <c r="H30" s="59"/>
    </row>
    <row r="31" spans="1:8" s="58" customFormat="1" x14ac:dyDescent="0.35">
      <c r="A31" s="59"/>
      <c r="B31" s="59"/>
      <c r="C31" s="59"/>
      <c r="D31" s="59"/>
      <c r="E31" s="59"/>
      <c r="F31" s="59"/>
      <c r="G31" s="59"/>
      <c r="H31" s="59"/>
    </row>
    <row r="32" spans="1:8" s="58" customFormat="1" x14ac:dyDescent="0.35">
      <c r="A32" s="59"/>
      <c r="B32" s="59"/>
      <c r="C32" s="59"/>
      <c r="D32" s="59"/>
      <c r="E32" s="59"/>
      <c r="F32" s="59"/>
      <c r="G32" s="59"/>
      <c r="H32" s="59"/>
    </row>
    <row r="33" spans="1:8" s="58" customFormat="1" x14ac:dyDescent="0.35">
      <c r="A33" s="59"/>
      <c r="B33" s="59"/>
      <c r="C33" s="59"/>
      <c r="D33" s="59"/>
      <c r="E33" s="59"/>
      <c r="F33" s="59"/>
      <c r="G33" s="59"/>
      <c r="H33" s="59"/>
    </row>
    <row r="38" spans="1:8" ht="15" customHeight="1" x14ac:dyDescent="0.35">
      <c r="A38" s="91" t="s">
        <v>422</v>
      </c>
      <c r="B38" s="91"/>
      <c r="C38" s="91"/>
    </row>
    <row r="39" spans="1:8" ht="15" customHeight="1" x14ac:dyDescent="0.35">
      <c r="A39" s="5" t="s">
        <v>18</v>
      </c>
      <c r="B39" s="5" t="s">
        <v>19</v>
      </c>
      <c r="C39" s="5" t="s">
        <v>20</v>
      </c>
      <c r="E39" s="60"/>
    </row>
    <row r="40" spans="1:8" ht="15" customHeight="1" x14ac:dyDescent="0.35">
      <c r="A40" s="6" t="s">
        <v>423</v>
      </c>
      <c r="B40" s="7" t="s">
        <v>21</v>
      </c>
      <c r="C40" s="8">
        <v>10000000000</v>
      </c>
      <c r="D40" s="64" t="s">
        <v>328</v>
      </c>
      <c r="E40" s="67" t="s">
        <v>345</v>
      </c>
      <c r="F40" s="68"/>
      <c r="G40" s="68"/>
      <c r="H40" s="68"/>
    </row>
    <row r="41" spans="1:8" ht="15" customHeight="1" thickBot="1" x14ac:dyDescent="0.4">
      <c r="A41" s="6" t="s">
        <v>22</v>
      </c>
      <c r="B41" s="7" t="s">
        <v>23</v>
      </c>
      <c r="C41" s="8">
        <v>8432</v>
      </c>
      <c r="D41" s="63" t="s">
        <v>329</v>
      </c>
    </row>
    <row r="42" spans="1:8" ht="15" customHeight="1" x14ac:dyDescent="0.35">
      <c r="A42" s="6" t="s">
        <v>24</v>
      </c>
      <c r="B42" s="7" t="s">
        <v>21</v>
      </c>
      <c r="C42" s="8">
        <v>12845000000</v>
      </c>
      <c r="D42" s="57" t="s">
        <v>330</v>
      </c>
    </row>
    <row r="43" spans="1:8" ht="15" customHeight="1" x14ac:dyDescent="0.35">
      <c r="A43" s="6" t="s">
        <v>25</v>
      </c>
      <c r="B43" s="7" t="s">
        <v>23</v>
      </c>
      <c r="C43" s="9">
        <v>574</v>
      </c>
      <c r="D43" s="57" t="s">
        <v>331</v>
      </c>
    </row>
    <row r="44" spans="1:8" ht="15" customHeight="1" x14ac:dyDescent="0.35">
      <c r="A44" s="6" t="s">
        <v>26</v>
      </c>
      <c r="B44" s="7" t="s">
        <v>21</v>
      </c>
      <c r="C44" s="8">
        <v>680000000</v>
      </c>
      <c r="D44" s="57" t="s">
        <v>331</v>
      </c>
    </row>
    <row r="45" spans="1:8" ht="15" customHeight="1" x14ac:dyDescent="0.35">
      <c r="A45" s="6" t="s">
        <v>27</v>
      </c>
      <c r="B45" s="7" t="s">
        <v>21</v>
      </c>
      <c r="C45" s="8">
        <v>152320000</v>
      </c>
      <c r="D45" s="57" t="s">
        <v>332</v>
      </c>
    </row>
    <row r="46" spans="1:8" ht="15" customHeight="1" x14ac:dyDescent="0.35">
      <c r="A46" s="6" t="s">
        <v>9</v>
      </c>
      <c r="B46" s="7" t="s">
        <v>21</v>
      </c>
      <c r="C46" s="8">
        <v>527680000</v>
      </c>
      <c r="D46" s="57" t="s">
        <v>327</v>
      </c>
    </row>
    <row r="47" spans="1:8" ht="15" customHeight="1" x14ac:dyDescent="0.35">
      <c r="A47" s="6" t="s">
        <v>28</v>
      </c>
      <c r="B47" s="7" t="s">
        <v>21</v>
      </c>
      <c r="C47" s="8">
        <v>7200000000</v>
      </c>
      <c r="D47" s="57" t="s">
        <v>333</v>
      </c>
    </row>
    <row r="48" spans="1:8" ht="15" customHeight="1" x14ac:dyDescent="0.35">
      <c r="A48" s="6" t="s">
        <v>29</v>
      </c>
      <c r="B48" s="7" t="s">
        <v>21</v>
      </c>
      <c r="C48" s="8">
        <v>6840000000</v>
      </c>
      <c r="D48" s="57" t="s">
        <v>334</v>
      </c>
    </row>
    <row r="49" spans="1:4" ht="15" customHeight="1" x14ac:dyDescent="0.35">
      <c r="A49" s="6" t="s">
        <v>30</v>
      </c>
      <c r="B49" s="7" t="s">
        <v>21</v>
      </c>
      <c r="C49" s="8">
        <v>360000000</v>
      </c>
      <c r="D49" s="57" t="s">
        <v>335</v>
      </c>
    </row>
    <row r="50" spans="1:4" ht="15" customHeight="1" x14ac:dyDescent="0.35">
      <c r="A50" s="6" t="s">
        <v>31</v>
      </c>
      <c r="B50" s="7" t="s">
        <v>23</v>
      </c>
      <c r="C50" s="9">
        <v>4</v>
      </c>
      <c r="D50" s="57" t="s">
        <v>336</v>
      </c>
    </row>
    <row r="51" spans="1:4" ht="15" customHeight="1" x14ac:dyDescent="0.35">
      <c r="A51" s="6" t="s">
        <v>32</v>
      </c>
      <c r="B51" s="7" t="s">
        <v>21</v>
      </c>
      <c r="C51" s="8">
        <v>45000000</v>
      </c>
      <c r="D51" s="57" t="s">
        <v>337</v>
      </c>
    </row>
    <row r="52" spans="1:4" ht="15" customHeight="1" x14ac:dyDescent="0.35">
      <c r="A52" s="6" t="s">
        <v>33</v>
      </c>
      <c r="B52" s="7" t="s">
        <v>21</v>
      </c>
      <c r="C52" s="8">
        <v>28000000</v>
      </c>
      <c r="D52" s="57" t="s">
        <v>338</v>
      </c>
    </row>
    <row r="53" spans="1:4" ht="15" customHeight="1" x14ac:dyDescent="0.35">
      <c r="A53" s="6" t="s">
        <v>34</v>
      </c>
      <c r="B53" s="7" t="s">
        <v>21</v>
      </c>
      <c r="C53" s="9">
        <v>0</v>
      </c>
      <c r="D53" s="57" t="s">
        <v>339</v>
      </c>
    </row>
    <row r="54" spans="1:4" ht="15" customHeight="1" x14ac:dyDescent="0.35">
      <c r="A54" s="6" t="s">
        <v>35</v>
      </c>
      <c r="B54" s="7" t="s">
        <v>36</v>
      </c>
      <c r="C54" s="10">
        <v>1.42</v>
      </c>
      <c r="D54" s="57" t="s">
        <v>340</v>
      </c>
    </row>
    <row r="55" spans="1:4" ht="15" customHeight="1" x14ac:dyDescent="0.35">
      <c r="A55" s="6" t="s">
        <v>37</v>
      </c>
      <c r="B55" s="7" t="s">
        <v>36</v>
      </c>
      <c r="C55" s="10">
        <v>1.68</v>
      </c>
      <c r="D55" s="57" t="s">
        <v>341</v>
      </c>
    </row>
    <row r="56" spans="1:4" ht="15" customHeight="1" x14ac:dyDescent="0.35">
      <c r="A56" s="6" t="s">
        <v>38</v>
      </c>
      <c r="B56" s="7" t="s">
        <v>39</v>
      </c>
      <c r="C56" s="10">
        <v>1.31</v>
      </c>
      <c r="D56" s="57" t="s">
        <v>342</v>
      </c>
    </row>
    <row r="59" spans="1:4" ht="15" thickBot="1" x14ac:dyDescent="0.4">
      <c r="A59" s="65" t="s">
        <v>346</v>
      </c>
      <c r="B59" s="66" t="s">
        <v>347</v>
      </c>
    </row>
    <row r="60" spans="1:4" ht="15" thickBot="1" x14ac:dyDescent="0.4">
      <c r="A60" s="51" t="s">
        <v>263</v>
      </c>
      <c r="B60" s="51" t="s">
        <v>264</v>
      </c>
      <c r="C60" s="53" t="s">
        <v>70</v>
      </c>
    </row>
    <row r="61" spans="1:4" ht="15" thickBot="1" x14ac:dyDescent="0.4">
      <c r="A61" s="52" t="s">
        <v>265</v>
      </c>
      <c r="B61" s="52" t="s">
        <v>266</v>
      </c>
      <c r="C61" s="54" t="s">
        <v>267</v>
      </c>
    </row>
    <row r="62" spans="1:4" ht="15.5" thickBot="1" x14ac:dyDescent="0.4">
      <c r="A62" s="61" t="s">
        <v>268</v>
      </c>
      <c r="B62" s="61" t="s">
        <v>266</v>
      </c>
      <c r="C62" s="62" t="s">
        <v>343</v>
      </c>
      <c r="D62" s="60" t="s">
        <v>344</v>
      </c>
    </row>
    <row r="63" spans="1:4" ht="15" thickBot="1" x14ac:dyDescent="0.4">
      <c r="A63" s="52" t="s">
        <v>269</v>
      </c>
      <c r="B63" s="52" t="s">
        <v>270</v>
      </c>
      <c r="C63" s="54" t="s">
        <v>271</v>
      </c>
    </row>
    <row r="64" spans="1:4" ht="15" thickBot="1" x14ac:dyDescent="0.4">
      <c r="A64" s="52" t="s">
        <v>272</v>
      </c>
      <c r="B64" s="52" t="s">
        <v>273</v>
      </c>
      <c r="C64" s="54" t="s">
        <v>274</v>
      </c>
    </row>
    <row r="65" spans="1:3" ht="15" thickBot="1" x14ac:dyDescent="0.4">
      <c r="A65" s="52" t="s">
        <v>275</v>
      </c>
      <c r="B65" s="52" t="s">
        <v>273</v>
      </c>
      <c r="C65" s="54" t="s">
        <v>276</v>
      </c>
    </row>
    <row r="66" spans="1:3" ht="15" thickBot="1" x14ac:dyDescent="0.4">
      <c r="A66" s="52" t="s">
        <v>277</v>
      </c>
      <c r="B66" s="52" t="s">
        <v>270</v>
      </c>
      <c r="C66" s="54" t="s">
        <v>278</v>
      </c>
    </row>
    <row r="67" spans="1:3" ht="15" thickBot="1" x14ac:dyDescent="0.4">
      <c r="A67" s="52" t="s">
        <v>279</v>
      </c>
      <c r="B67" s="52" t="s">
        <v>273</v>
      </c>
      <c r="C67" s="54" t="s">
        <v>280</v>
      </c>
    </row>
    <row r="68" spans="1:3" ht="15" thickBot="1" x14ac:dyDescent="0.4">
      <c r="A68" s="52" t="s">
        <v>281</v>
      </c>
      <c r="B68" s="52" t="s">
        <v>273</v>
      </c>
      <c r="C68" s="54" t="s">
        <v>282</v>
      </c>
    </row>
    <row r="69" spans="1:3" ht="15" thickBot="1" x14ac:dyDescent="0.4">
      <c r="A69" s="52" t="s">
        <v>250</v>
      </c>
      <c r="B69" s="52" t="s">
        <v>273</v>
      </c>
      <c r="C69" s="54" t="s">
        <v>283</v>
      </c>
    </row>
    <row r="70" spans="1:3" ht="23.5" thickBot="1" x14ac:dyDescent="0.4">
      <c r="A70" s="52" t="s">
        <v>248</v>
      </c>
      <c r="B70" s="52" t="s">
        <v>284</v>
      </c>
      <c r="C70" s="54" t="s">
        <v>285</v>
      </c>
    </row>
    <row r="71" spans="1:3" ht="15" thickBot="1" x14ac:dyDescent="0.4">
      <c r="A71" s="52" t="s">
        <v>249</v>
      </c>
      <c r="B71" s="52" t="s">
        <v>284</v>
      </c>
      <c r="C71" s="54" t="s">
        <v>286</v>
      </c>
    </row>
    <row r="72" spans="1:3" ht="15" thickBot="1" x14ac:dyDescent="0.4">
      <c r="A72" s="52" t="s">
        <v>287</v>
      </c>
      <c r="B72" s="52" t="s">
        <v>270</v>
      </c>
      <c r="C72" s="54" t="s">
        <v>288</v>
      </c>
    </row>
    <row r="73" spans="1:3" ht="15" thickBot="1" x14ac:dyDescent="0.4">
      <c r="A73" s="52" t="s">
        <v>289</v>
      </c>
      <c r="B73" s="52" t="s">
        <v>284</v>
      </c>
      <c r="C73" s="54" t="s">
        <v>290</v>
      </c>
    </row>
    <row r="74" spans="1:3" ht="23.5" thickBot="1" x14ac:dyDescent="0.4">
      <c r="A74" s="52" t="s">
        <v>291</v>
      </c>
      <c r="B74" s="52" t="s">
        <v>292</v>
      </c>
      <c r="C74" s="54" t="s">
        <v>293</v>
      </c>
    </row>
    <row r="75" spans="1:3" ht="23.5" thickBot="1" x14ac:dyDescent="0.4">
      <c r="A75" s="52" t="s">
        <v>294</v>
      </c>
      <c r="B75" s="52" t="s">
        <v>273</v>
      </c>
      <c r="C75" s="54" t="s">
        <v>295</v>
      </c>
    </row>
    <row r="76" spans="1:3" ht="15" thickBot="1" x14ac:dyDescent="0.4">
      <c r="A76" s="52" t="s">
        <v>296</v>
      </c>
      <c r="B76" s="52" t="s">
        <v>273</v>
      </c>
      <c r="C76" s="54" t="s">
        <v>297</v>
      </c>
    </row>
    <row r="77" spans="1:3" ht="15" thickBot="1" x14ac:dyDescent="0.4">
      <c r="A77" s="52" t="s">
        <v>298</v>
      </c>
      <c r="B77" s="52" t="s">
        <v>273</v>
      </c>
      <c r="C77" s="54" t="s">
        <v>299</v>
      </c>
    </row>
    <row r="78" spans="1:3" ht="23.5" thickBot="1" x14ac:dyDescent="0.4">
      <c r="A78" s="52" t="s">
        <v>300</v>
      </c>
      <c r="B78" s="52" t="s">
        <v>270</v>
      </c>
      <c r="C78" s="54" t="s">
        <v>301</v>
      </c>
    </row>
    <row r="79" spans="1:3" ht="15" thickBot="1" x14ac:dyDescent="0.4">
      <c r="A79" s="52" t="s">
        <v>302</v>
      </c>
      <c r="B79" s="52" t="s">
        <v>273</v>
      </c>
      <c r="C79" s="54" t="s">
        <v>303</v>
      </c>
    </row>
    <row r="80" spans="1:3" ht="15" thickBot="1" x14ac:dyDescent="0.4">
      <c r="A80" s="52" t="s">
        <v>304</v>
      </c>
      <c r="B80" s="52" t="s">
        <v>273</v>
      </c>
      <c r="C80" s="54" t="s">
        <v>305</v>
      </c>
    </row>
    <row r="81" spans="1:3" ht="23.5" thickBot="1" x14ac:dyDescent="0.4">
      <c r="A81" s="52" t="s">
        <v>306</v>
      </c>
      <c r="B81" s="52" t="s">
        <v>273</v>
      </c>
      <c r="C81" s="54" t="s">
        <v>307</v>
      </c>
    </row>
    <row r="82" spans="1:3" ht="15" thickBot="1" x14ac:dyDescent="0.4">
      <c r="A82" s="52" t="s">
        <v>308</v>
      </c>
      <c r="B82" s="52" t="s">
        <v>284</v>
      </c>
      <c r="C82" s="54" t="s">
        <v>309</v>
      </c>
    </row>
    <row r="83" spans="1:3" ht="15" thickBot="1" x14ac:dyDescent="0.4">
      <c r="A83" s="52" t="s">
        <v>310</v>
      </c>
      <c r="B83" s="52" t="s">
        <v>284</v>
      </c>
      <c r="C83" s="54" t="s">
        <v>311</v>
      </c>
    </row>
    <row r="84" spans="1:3" ht="15" thickBot="1" x14ac:dyDescent="0.4">
      <c r="A84" s="52" t="s">
        <v>312</v>
      </c>
      <c r="B84" s="52" t="s">
        <v>284</v>
      </c>
      <c r="C84" s="54" t="s">
        <v>313</v>
      </c>
    </row>
    <row r="85" spans="1:3" ht="15" thickBot="1" x14ac:dyDescent="0.4">
      <c r="A85" s="52" t="s">
        <v>314</v>
      </c>
      <c r="B85" s="52" t="s">
        <v>284</v>
      </c>
      <c r="C85" s="54" t="s">
        <v>315</v>
      </c>
    </row>
    <row r="86" spans="1:3" ht="23.5" thickBot="1" x14ac:dyDescent="0.4">
      <c r="A86" s="52" t="s">
        <v>316</v>
      </c>
      <c r="B86" s="52" t="s">
        <v>284</v>
      </c>
      <c r="C86" s="54" t="s">
        <v>317</v>
      </c>
    </row>
    <row r="87" spans="1:3" ht="23.5" thickBot="1" x14ac:dyDescent="0.4">
      <c r="A87" s="55" t="s">
        <v>318</v>
      </c>
      <c r="B87" s="55" t="s">
        <v>284</v>
      </c>
      <c r="C87" s="56" t="s">
        <v>319</v>
      </c>
    </row>
  </sheetData>
  <mergeCells count="3">
    <mergeCell ref="A2:H2"/>
    <mergeCell ref="A3:H3"/>
    <mergeCell ref="A38:C38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599F-3CE9-4DC6-B4D9-F818D7023B3D}">
  <dimension ref="A7"/>
  <sheetViews>
    <sheetView workbookViewId="0">
      <selection activeCell="G12" sqref="G12"/>
    </sheetView>
  </sheetViews>
  <sheetFormatPr defaultRowHeight="14.5" x14ac:dyDescent="0.35"/>
  <sheetData>
    <row r="7" spans="1:1" ht="15" x14ac:dyDescent="0.35">
      <c r="A7" s="71" t="s">
        <v>349</v>
      </c>
    </row>
  </sheetData>
  <phoneticPr fontId="1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N59"/>
  <sheetViews>
    <sheetView zoomScaleNormal="100" workbookViewId="0">
      <selection activeCell="G7" sqref="G7"/>
    </sheetView>
  </sheetViews>
  <sheetFormatPr defaultColWidth="8.6328125" defaultRowHeight="14.5" x14ac:dyDescent="0.35"/>
  <cols>
    <col min="1" max="2" width="12" customWidth="1"/>
    <col min="3" max="3" width="13.6328125" customWidth="1"/>
    <col min="4" max="4" width="14.26953125" customWidth="1"/>
    <col min="5" max="14" width="12" customWidth="1"/>
  </cols>
  <sheetData>
    <row r="1" spans="1:6" x14ac:dyDescent="0.35">
      <c r="A1" s="46"/>
    </row>
    <row r="2" spans="1:6" x14ac:dyDescent="0.35">
      <c r="A2" s="46"/>
    </row>
    <row r="3" spans="1:6" x14ac:dyDescent="0.35">
      <c r="A3" s="46"/>
    </row>
    <row r="4" spans="1:6" x14ac:dyDescent="0.35">
      <c r="A4" s="46"/>
    </row>
    <row r="5" spans="1:6" x14ac:dyDescent="0.35">
      <c r="A5" s="46"/>
    </row>
    <row r="6" spans="1:6" x14ac:dyDescent="0.35">
      <c r="A6" s="46"/>
    </row>
    <row r="7" spans="1:6" x14ac:dyDescent="0.35">
      <c r="A7" s="46"/>
    </row>
    <row r="8" spans="1:6" x14ac:dyDescent="0.35">
      <c r="A8" s="46"/>
    </row>
    <row r="9" spans="1:6" x14ac:dyDescent="0.35">
      <c r="A9" s="46"/>
    </row>
    <row r="10" spans="1:6" x14ac:dyDescent="0.35">
      <c r="A10" s="46"/>
    </row>
    <row r="11" spans="1:6" x14ac:dyDescent="0.35">
      <c r="A11" s="46"/>
    </row>
    <row r="12" spans="1:6" x14ac:dyDescent="0.35">
      <c r="A12" s="46"/>
    </row>
    <row r="13" spans="1:6" x14ac:dyDescent="0.35">
      <c r="A13" s="46"/>
    </row>
    <row r="14" spans="1:6" ht="15" x14ac:dyDescent="0.35">
      <c r="A14" s="46"/>
      <c r="F14" s="46" t="s">
        <v>358</v>
      </c>
    </row>
    <row r="15" spans="1:6" x14ac:dyDescent="0.35">
      <c r="A15" s="46"/>
    </row>
    <row r="16" spans="1:6" x14ac:dyDescent="0.35">
      <c r="A16" s="46"/>
    </row>
    <row r="17" spans="1:14" x14ac:dyDescent="0.35">
      <c r="A17" s="46"/>
    </row>
    <row r="18" spans="1:14" x14ac:dyDescent="0.35">
      <c r="A18" s="46"/>
    </row>
    <row r="19" spans="1:14" x14ac:dyDescent="0.35">
      <c r="A19" s="46"/>
    </row>
    <row r="20" spans="1:14" x14ac:dyDescent="0.35">
      <c r="A20" s="46"/>
    </row>
    <row r="21" spans="1:14" x14ac:dyDescent="0.35">
      <c r="A21" s="46"/>
    </row>
    <row r="22" spans="1:14" x14ac:dyDescent="0.35">
      <c r="A22" s="46"/>
    </row>
    <row r="23" spans="1:14" x14ac:dyDescent="0.35">
      <c r="A23" s="46"/>
    </row>
    <row r="24" spans="1:14" x14ac:dyDescent="0.35">
      <c r="A24" s="46"/>
    </row>
    <row r="25" spans="1:14" x14ac:dyDescent="0.35">
      <c r="A25" s="46"/>
    </row>
    <row r="26" spans="1:14" x14ac:dyDescent="0.35">
      <c r="A26" s="46"/>
    </row>
    <row r="27" spans="1:14" x14ac:dyDescent="0.35">
      <c r="A27" s="46"/>
    </row>
    <row r="28" spans="1:14" ht="15.5" thickBot="1" x14ac:dyDescent="0.4">
      <c r="A28" s="46"/>
      <c r="C28" s="92" t="s">
        <v>466</v>
      </c>
      <c r="D28" s="92"/>
      <c r="G28" s="86" t="s">
        <v>465</v>
      </c>
      <c r="I28" s="86" t="s">
        <v>467</v>
      </c>
    </row>
    <row r="29" spans="1:14" s="73" customFormat="1" ht="12" x14ac:dyDescent="0.3">
      <c r="A29" s="72"/>
      <c r="C29" s="96" t="s">
        <v>463</v>
      </c>
      <c r="D29" s="96" t="s">
        <v>464</v>
      </c>
      <c r="E29" s="97" t="s">
        <v>350</v>
      </c>
      <c r="F29" s="97" t="s">
        <v>351</v>
      </c>
      <c r="G29" s="87" t="s">
        <v>352</v>
      </c>
      <c r="H29" s="98" t="s">
        <v>353</v>
      </c>
      <c r="I29" s="101" t="s">
        <v>354</v>
      </c>
      <c r="J29" s="101" t="s">
        <v>355</v>
      </c>
      <c r="K29" s="103" t="s">
        <v>356</v>
      </c>
      <c r="L29" s="106" t="s">
        <v>357</v>
      </c>
      <c r="M29" s="106" t="s">
        <v>357</v>
      </c>
      <c r="N29" s="106" t="s">
        <v>357</v>
      </c>
    </row>
    <row r="30" spans="1:14" s="73" customFormat="1" ht="12" x14ac:dyDescent="0.3">
      <c r="A30" s="72"/>
      <c r="C30" s="96"/>
      <c r="D30" s="96"/>
      <c r="E30" s="97"/>
      <c r="F30" s="97"/>
      <c r="G30" s="87"/>
      <c r="H30" s="99"/>
      <c r="I30" s="97"/>
      <c r="J30" s="97"/>
      <c r="K30" s="104"/>
      <c r="L30" s="97"/>
      <c r="M30" s="97"/>
      <c r="N30" s="97"/>
    </row>
    <row r="31" spans="1:14" s="73" customFormat="1" ht="12" x14ac:dyDescent="0.3">
      <c r="A31" s="72"/>
      <c r="C31" s="96"/>
      <c r="D31" s="96"/>
      <c r="E31" s="97"/>
      <c r="F31" s="97"/>
      <c r="G31" s="87"/>
      <c r="H31" s="99"/>
      <c r="I31" s="97"/>
      <c r="J31" s="97"/>
      <c r="K31" s="104"/>
      <c r="L31" s="97"/>
      <c r="M31" s="97"/>
      <c r="N31" s="97"/>
    </row>
    <row r="32" spans="1:14" s="73" customFormat="1" ht="12" x14ac:dyDescent="0.3">
      <c r="A32" s="72"/>
      <c r="C32" s="96"/>
      <c r="D32" s="96"/>
      <c r="E32" s="97"/>
      <c r="F32" s="97"/>
      <c r="G32" s="87"/>
      <c r="H32" s="99"/>
      <c r="I32" s="97"/>
      <c r="J32" s="97"/>
      <c r="K32" s="104"/>
      <c r="L32" s="97"/>
      <c r="M32" s="97"/>
      <c r="N32" s="97"/>
    </row>
    <row r="33" spans="1:14" s="73" customFormat="1" ht="12.5" thickBot="1" x14ac:dyDescent="0.35">
      <c r="A33" s="72"/>
      <c r="C33" s="96"/>
      <c r="D33" s="96"/>
      <c r="E33" s="97"/>
      <c r="F33" s="97"/>
      <c r="G33" s="87"/>
      <c r="H33" s="100"/>
      <c r="I33" s="102"/>
      <c r="J33" s="102"/>
      <c r="K33" s="105"/>
      <c r="L33" s="97"/>
      <c r="M33" s="97"/>
      <c r="N33" s="97"/>
    </row>
    <row r="34" spans="1:14" ht="15" x14ac:dyDescent="0.35">
      <c r="A34" s="93" t="s">
        <v>253</v>
      </c>
      <c r="B34" s="94"/>
      <c r="C34" s="94"/>
      <c r="D34" s="94"/>
      <c r="E34" s="94"/>
      <c r="F34" s="94"/>
      <c r="G34" s="94"/>
      <c r="H34" s="95" t="s">
        <v>252</v>
      </c>
      <c r="I34" s="95"/>
      <c r="J34" s="95"/>
      <c r="K34" s="95"/>
      <c r="L34" s="95"/>
      <c r="M34" s="95"/>
      <c r="N34" s="95"/>
    </row>
    <row r="35" spans="1:14" ht="23.25" customHeight="1" x14ac:dyDescent="0.35">
      <c r="A35" s="5" t="s">
        <v>40</v>
      </c>
      <c r="B35" s="5" t="s">
        <v>41</v>
      </c>
      <c r="C35" s="5" t="s">
        <v>424</v>
      </c>
      <c r="D35" s="5" t="s">
        <v>425</v>
      </c>
      <c r="E35" s="5" t="s">
        <v>419</v>
      </c>
      <c r="F35" s="5" t="s">
        <v>420</v>
      </c>
      <c r="G35" s="5" t="s">
        <v>426</v>
      </c>
      <c r="H35" s="5" t="s">
        <v>427</v>
      </c>
      <c r="I35" s="5" t="s">
        <v>428</v>
      </c>
      <c r="J35" s="5" t="s">
        <v>429</v>
      </c>
      <c r="K35" s="5" t="s">
        <v>430</v>
      </c>
      <c r="L35" s="5" t="s">
        <v>431</v>
      </c>
      <c r="M35" s="5" t="s">
        <v>42</v>
      </c>
      <c r="N35" s="5" t="s">
        <v>9</v>
      </c>
    </row>
    <row r="36" spans="1:14" ht="15" customHeight="1" x14ac:dyDescent="0.35">
      <c r="A36" s="11">
        <v>1</v>
      </c>
      <c r="B36" s="12">
        <v>45108</v>
      </c>
      <c r="C36" s="13">
        <v>9505544818</v>
      </c>
      <c r="D36" s="13">
        <v>10123955304</v>
      </c>
      <c r="E36" s="14">
        <v>8.3999999999999995E-3</v>
      </c>
      <c r="F36" s="14">
        <v>0.16600000000000001</v>
      </c>
      <c r="G36" s="14">
        <v>4.5499999999999999E-2</v>
      </c>
      <c r="H36" s="14">
        <v>1.9800000000000002E-2</v>
      </c>
      <c r="I36" s="14">
        <v>1.35E-2</v>
      </c>
      <c r="J36" s="14">
        <v>6.8999999999999999E-3</v>
      </c>
      <c r="K36" s="14">
        <v>5.3E-3</v>
      </c>
      <c r="L36" s="13">
        <v>0</v>
      </c>
      <c r="M36" s="13">
        <v>0</v>
      </c>
      <c r="N36" s="13">
        <f t="shared" ref="N36:N59" si="0">L36-M36</f>
        <v>0</v>
      </c>
    </row>
    <row r="37" spans="1:14" ht="15" customHeight="1" x14ac:dyDescent="0.35">
      <c r="A37" s="11">
        <v>2</v>
      </c>
      <c r="B37" s="12">
        <v>45139</v>
      </c>
      <c r="C37" s="13">
        <v>9693108453</v>
      </c>
      <c r="D37" s="13">
        <v>10380351596</v>
      </c>
      <c r="E37" s="14">
        <v>9.1999999999999998E-3</v>
      </c>
      <c r="F37" s="14">
        <v>0.2702</v>
      </c>
      <c r="G37" s="14">
        <v>6.0100000000000001E-2</v>
      </c>
      <c r="H37" s="14">
        <v>3.5900000000000001E-2</v>
      </c>
      <c r="I37" s="14">
        <v>1.5599999999999999E-2</v>
      </c>
      <c r="J37" s="14">
        <v>1.17E-2</v>
      </c>
      <c r="K37" s="14">
        <v>0</v>
      </c>
      <c r="L37" s="13">
        <v>0</v>
      </c>
      <c r="M37" s="13">
        <v>0</v>
      </c>
      <c r="N37" s="13">
        <f t="shared" si="0"/>
        <v>0</v>
      </c>
    </row>
    <row r="38" spans="1:14" ht="15" customHeight="1" x14ac:dyDescent="0.35">
      <c r="A38" s="11">
        <v>3</v>
      </c>
      <c r="B38" s="12">
        <v>45170</v>
      </c>
      <c r="C38" s="13">
        <v>9741085386</v>
      </c>
      <c r="D38" s="13">
        <v>10356297638</v>
      </c>
      <c r="E38" s="14">
        <v>1.2500000000000001E-2</v>
      </c>
      <c r="F38" s="14">
        <v>0.27460000000000001</v>
      </c>
      <c r="G38" s="14">
        <v>5.2900000000000003E-2</v>
      </c>
      <c r="H38" s="14">
        <v>3.0599999999999999E-2</v>
      </c>
      <c r="I38" s="14">
        <v>1.4500000000000001E-2</v>
      </c>
      <c r="J38" s="14">
        <v>7.7999999999999996E-3</v>
      </c>
      <c r="K38" s="14">
        <v>0</v>
      </c>
      <c r="L38" s="13">
        <v>22775746</v>
      </c>
      <c r="M38" s="13">
        <v>0</v>
      </c>
      <c r="N38" s="13">
        <f t="shared" si="0"/>
        <v>22775746</v>
      </c>
    </row>
    <row r="39" spans="1:14" ht="15" customHeight="1" x14ac:dyDescent="0.35">
      <c r="A39" s="11">
        <v>4</v>
      </c>
      <c r="B39" s="12">
        <v>45200</v>
      </c>
      <c r="C39" s="13">
        <v>9872807041</v>
      </c>
      <c r="D39" s="13">
        <v>10523907026</v>
      </c>
      <c r="E39" s="14">
        <v>1.5599999999999999E-2</v>
      </c>
      <c r="F39" s="14">
        <v>0.24399999999999999</v>
      </c>
      <c r="G39" s="14">
        <v>3.6499999999999998E-2</v>
      </c>
      <c r="H39" s="14">
        <v>1.52E-2</v>
      </c>
      <c r="I39" s="14">
        <v>8.3000000000000001E-3</v>
      </c>
      <c r="J39" s="14">
        <v>4.5999999999999999E-3</v>
      </c>
      <c r="K39" s="14">
        <v>8.3000000000000001E-3</v>
      </c>
      <c r="L39" s="13">
        <v>47367034</v>
      </c>
      <c r="M39" s="13">
        <v>0</v>
      </c>
      <c r="N39" s="13">
        <f t="shared" si="0"/>
        <v>47367034</v>
      </c>
    </row>
    <row r="40" spans="1:14" ht="15" customHeight="1" x14ac:dyDescent="0.35">
      <c r="A40" s="11">
        <v>5</v>
      </c>
      <c r="B40" s="12">
        <v>45231</v>
      </c>
      <c r="C40" s="13">
        <v>9133235230</v>
      </c>
      <c r="D40" s="13">
        <v>9442629864</v>
      </c>
      <c r="E40" s="14">
        <v>1.9900000000000001E-2</v>
      </c>
      <c r="F40" s="14">
        <v>0.25600000000000001</v>
      </c>
      <c r="G40" s="14">
        <v>2.3900000000000001E-2</v>
      </c>
      <c r="H40" s="14">
        <v>1.15E-2</v>
      </c>
      <c r="I40" s="14">
        <v>6.1000000000000004E-3</v>
      </c>
      <c r="J40" s="14">
        <v>3.3999999999999998E-3</v>
      </c>
      <c r="K40" s="14">
        <v>2.8999999999999998E-3</v>
      </c>
      <c r="L40" s="13">
        <v>68572065</v>
      </c>
      <c r="M40" s="13">
        <v>5427701</v>
      </c>
      <c r="N40" s="13">
        <f t="shared" si="0"/>
        <v>63144364</v>
      </c>
    </row>
    <row r="41" spans="1:14" ht="15" customHeight="1" x14ac:dyDescent="0.35">
      <c r="A41" s="11">
        <v>6</v>
      </c>
      <c r="B41" s="12">
        <v>45261</v>
      </c>
      <c r="C41" s="13">
        <v>9816853108</v>
      </c>
      <c r="D41" s="13">
        <v>10357219479</v>
      </c>
      <c r="E41" s="14">
        <v>2.29E-2</v>
      </c>
      <c r="F41" s="14">
        <v>0.27850000000000003</v>
      </c>
      <c r="G41" s="14">
        <v>6.59E-2</v>
      </c>
      <c r="H41" s="14">
        <v>3.1399999999999997E-2</v>
      </c>
      <c r="I41" s="14">
        <v>1.32E-2</v>
      </c>
      <c r="J41" s="14">
        <v>8.8999999999999999E-3</v>
      </c>
      <c r="K41" s="14">
        <v>1.24E-2</v>
      </c>
      <c r="L41" s="13">
        <v>106176319</v>
      </c>
      <c r="M41" s="13">
        <v>15900854</v>
      </c>
      <c r="N41" s="13">
        <f t="shared" si="0"/>
        <v>90275465</v>
      </c>
    </row>
    <row r="42" spans="1:14" ht="15" customHeight="1" x14ac:dyDescent="0.35">
      <c r="A42" s="11">
        <v>7</v>
      </c>
      <c r="B42" s="12">
        <v>45292</v>
      </c>
      <c r="C42" s="13">
        <v>9336896145</v>
      </c>
      <c r="D42" s="13">
        <v>9758375560</v>
      </c>
      <c r="E42" s="14">
        <v>2.6200000000000001E-2</v>
      </c>
      <c r="F42" s="14">
        <v>0.2319</v>
      </c>
      <c r="G42" s="14">
        <v>5.62E-2</v>
      </c>
      <c r="H42" s="14">
        <v>2.5000000000000001E-2</v>
      </c>
      <c r="I42" s="14">
        <v>1.2500000000000001E-2</v>
      </c>
      <c r="J42" s="14">
        <v>8.0999999999999996E-3</v>
      </c>
      <c r="K42" s="14">
        <v>1.0699999999999999E-2</v>
      </c>
      <c r="L42" s="13">
        <v>122047064</v>
      </c>
      <c r="M42" s="13">
        <v>19581595</v>
      </c>
      <c r="N42" s="13">
        <f t="shared" si="0"/>
        <v>102465469</v>
      </c>
    </row>
    <row r="43" spans="1:14" ht="15" customHeight="1" x14ac:dyDescent="0.35">
      <c r="A43" s="11">
        <v>8</v>
      </c>
      <c r="B43" s="12">
        <v>45323</v>
      </c>
      <c r="C43" s="13">
        <v>9463613336</v>
      </c>
      <c r="D43" s="13">
        <v>9882463400</v>
      </c>
      <c r="E43" s="14">
        <v>2.52E-2</v>
      </c>
      <c r="F43" s="14">
        <v>0.22009999999999999</v>
      </c>
      <c r="G43" s="14">
        <v>2.7699999999999999E-2</v>
      </c>
      <c r="H43" s="14">
        <v>1.4500000000000001E-2</v>
      </c>
      <c r="I43" s="14">
        <v>5.5999999999999999E-3</v>
      </c>
      <c r="J43" s="14">
        <v>3.8999999999999998E-3</v>
      </c>
      <c r="K43" s="14">
        <v>3.7000000000000002E-3</v>
      </c>
      <c r="L43" s="13">
        <v>153978823</v>
      </c>
      <c r="M43" s="13">
        <v>26610047</v>
      </c>
      <c r="N43" s="13">
        <f t="shared" si="0"/>
        <v>127368776</v>
      </c>
    </row>
    <row r="44" spans="1:14" ht="15" customHeight="1" x14ac:dyDescent="0.35">
      <c r="A44" s="11">
        <v>9</v>
      </c>
      <c r="B44" s="12">
        <v>45352</v>
      </c>
      <c r="C44" s="13">
        <v>9704052950</v>
      </c>
      <c r="D44" s="13">
        <v>9977144109</v>
      </c>
      <c r="E44" s="14">
        <v>3.0200000000000001E-2</v>
      </c>
      <c r="F44" s="14">
        <v>0.1575</v>
      </c>
      <c r="G44" s="14">
        <v>4.2700000000000002E-2</v>
      </c>
      <c r="H44" s="14">
        <v>1.89E-2</v>
      </c>
      <c r="I44" s="14">
        <v>9.9000000000000008E-3</v>
      </c>
      <c r="J44" s="14">
        <v>7.4999999999999997E-3</v>
      </c>
      <c r="K44" s="14">
        <v>6.4000000000000003E-3</v>
      </c>
      <c r="L44" s="13">
        <v>180352609</v>
      </c>
      <c r="M44" s="13">
        <v>30765045</v>
      </c>
      <c r="N44" s="13">
        <f t="shared" si="0"/>
        <v>149587564</v>
      </c>
    </row>
    <row r="45" spans="1:14" ht="15" customHeight="1" x14ac:dyDescent="0.35">
      <c r="A45" s="11">
        <v>10</v>
      </c>
      <c r="B45" s="12">
        <v>45383</v>
      </c>
      <c r="C45" s="13">
        <v>8818077037</v>
      </c>
      <c r="D45" s="13">
        <v>9127911566</v>
      </c>
      <c r="E45" s="14">
        <v>3.0599999999999999E-2</v>
      </c>
      <c r="F45" s="14">
        <v>0.15290000000000001</v>
      </c>
      <c r="G45" s="14">
        <v>5.2400000000000002E-2</v>
      </c>
      <c r="H45" s="14">
        <v>3.1399999999999997E-2</v>
      </c>
      <c r="I45" s="14">
        <v>1.23E-2</v>
      </c>
      <c r="J45" s="14">
        <v>8.6E-3</v>
      </c>
      <c r="K45" s="14">
        <v>0</v>
      </c>
      <c r="L45" s="13">
        <v>218789601</v>
      </c>
      <c r="M45" s="13">
        <v>36642349</v>
      </c>
      <c r="N45" s="13">
        <f t="shared" si="0"/>
        <v>182147252</v>
      </c>
    </row>
    <row r="46" spans="1:14" ht="15" customHeight="1" x14ac:dyDescent="0.35">
      <c r="A46" s="11">
        <v>11</v>
      </c>
      <c r="B46" s="12">
        <v>45413</v>
      </c>
      <c r="C46" s="13">
        <v>8739034910</v>
      </c>
      <c r="D46" s="13">
        <v>9411737013</v>
      </c>
      <c r="E46" s="14">
        <v>3.44E-2</v>
      </c>
      <c r="F46" s="14">
        <v>0.15310000000000001</v>
      </c>
      <c r="G46" s="14">
        <v>2.9100000000000001E-2</v>
      </c>
      <c r="H46" s="14">
        <v>1.24E-2</v>
      </c>
      <c r="I46" s="14">
        <v>7.7999999999999996E-3</v>
      </c>
      <c r="J46" s="14">
        <v>4.5999999999999999E-3</v>
      </c>
      <c r="K46" s="14">
        <v>4.4000000000000003E-3</v>
      </c>
      <c r="L46" s="13">
        <v>240328537</v>
      </c>
      <c r="M46" s="13">
        <v>39939034</v>
      </c>
      <c r="N46" s="13">
        <f t="shared" si="0"/>
        <v>200389503</v>
      </c>
    </row>
    <row r="47" spans="1:14" ht="15" customHeight="1" x14ac:dyDescent="0.35">
      <c r="A47" s="11">
        <v>12</v>
      </c>
      <c r="B47" s="12">
        <v>45444</v>
      </c>
      <c r="C47" s="13">
        <v>8517298332</v>
      </c>
      <c r="D47" s="13">
        <v>8773390910</v>
      </c>
      <c r="E47" s="14">
        <v>4.0300000000000002E-2</v>
      </c>
      <c r="F47" s="14">
        <v>0.26219999999999999</v>
      </c>
      <c r="G47" s="14">
        <v>2.69E-2</v>
      </c>
      <c r="H47" s="14">
        <v>1.52E-2</v>
      </c>
      <c r="I47" s="14">
        <v>8.0000000000000002E-3</v>
      </c>
      <c r="J47" s="14">
        <v>3.0000000000000001E-3</v>
      </c>
      <c r="K47" s="14">
        <v>8.0000000000000004E-4</v>
      </c>
      <c r="L47" s="13">
        <v>256098890</v>
      </c>
      <c r="M47" s="13">
        <v>44073844</v>
      </c>
      <c r="N47" s="13">
        <f t="shared" si="0"/>
        <v>212025046</v>
      </c>
    </row>
    <row r="48" spans="1:14" ht="15" customHeight="1" x14ac:dyDescent="0.35">
      <c r="A48" s="11">
        <v>13</v>
      </c>
      <c r="B48" s="12">
        <v>45474</v>
      </c>
      <c r="C48" s="13">
        <v>8995224951</v>
      </c>
      <c r="D48" s="13">
        <v>9692268263</v>
      </c>
      <c r="E48" s="14">
        <v>4.1799999999999997E-2</v>
      </c>
      <c r="F48" s="14">
        <v>0.25729999999999997</v>
      </c>
      <c r="G48" s="14">
        <v>2.46E-2</v>
      </c>
      <c r="H48" s="14">
        <v>1.32E-2</v>
      </c>
      <c r="I48" s="14">
        <v>6.4999999999999997E-3</v>
      </c>
      <c r="J48" s="14">
        <v>2.7000000000000001E-3</v>
      </c>
      <c r="K48" s="14">
        <v>2.2000000000000001E-3</v>
      </c>
      <c r="L48" s="13">
        <v>294273317</v>
      </c>
      <c r="M48" s="13">
        <v>53894300</v>
      </c>
      <c r="N48" s="13">
        <f t="shared" si="0"/>
        <v>240379017</v>
      </c>
    </row>
    <row r="49" spans="1:14" ht="15" customHeight="1" x14ac:dyDescent="0.35">
      <c r="A49" s="11">
        <v>14</v>
      </c>
      <c r="B49" s="12">
        <v>45505</v>
      </c>
      <c r="C49" s="13">
        <v>7769164077</v>
      </c>
      <c r="D49" s="13">
        <v>7980977158</v>
      </c>
      <c r="E49" s="14">
        <v>4.8899999999999999E-2</v>
      </c>
      <c r="F49" s="14">
        <v>0.26740000000000003</v>
      </c>
      <c r="G49" s="14">
        <v>4.0800000000000003E-2</v>
      </c>
      <c r="H49" s="14">
        <v>1.9800000000000002E-2</v>
      </c>
      <c r="I49" s="14">
        <v>9.7000000000000003E-3</v>
      </c>
      <c r="J49" s="14">
        <v>6.1000000000000004E-3</v>
      </c>
      <c r="K49" s="14">
        <v>5.1999999999999998E-3</v>
      </c>
      <c r="L49" s="13">
        <v>319510252</v>
      </c>
      <c r="M49" s="13">
        <v>60642538</v>
      </c>
      <c r="N49" s="13">
        <f t="shared" si="0"/>
        <v>258867714</v>
      </c>
    </row>
    <row r="50" spans="1:14" ht="15" customHeight="1" x14ac:dyDescent="0.35">
      <c r="A50" s="11">
        <v>15</v>
      </c>
      <c r="B50" s="12">
        <v>45536</v>
      </c>
      <c r="C50" s="13">
        <v>7758151594</v>
      </c>
      <c r="D50" s="13">
        <v>7962441819</v>
      </c>
      <c r="E50" s="14">
        <v>5.1700000000000003E-2</v>
      </c>
      <c r="F50" s="14">
        <v>0.24529999999999999</v>
      </c>
      <c r="G50" s="14">
        <v>6.9699999999999998E-2</v>
      </c>
      <c r="H50" s="14">
        <v>3.78E-2</v>
      </c>
      <c r="I50" s="14">
        <v>1.7000000000000001E-2</v>
      </c>
      <c r="J50" s="14">
        <v>1.21E-2</v>
      </c>
      <c r="K50" s="14">
        <v>2.8999999999999998E-3</v>
      </c>
      <c r="L50" s="13">
        <v>363474464</v>
      </c>
      <c r="M50" s="13">
        <v>71428619</v>
      </c>
      <c r="N50" s="13">
        <f t="shared" si="0"/>
        <v>292045845</v>
      </c>
    </row>
    <row r="51" spans="1:14" ht="15" customHeight="1" x14ac:dyDescent="0.35">
      <c r="A51" s="11">
        <v>16</v>
      </c>
      <c r="B51" s="12">
        <v>45566</v>
      </c>
      <c r="C51" s="13">
        <v>8908670069</v>
      </c>
      <c r="D51" s="13">
        <v>9374507762</v>
      </c>
      <c r="E51" s="14">
        <v>5.1400000000000001E-2</v>
      </c>
      <c r="F51" s="14">
        <v>0.21529999999999999</v>
      </c>
      <c r="G51" s="14">
        <v>6.3899999999999998E-2</v>
      </c>
      <c r="H51" s="14">
        <v>2.9000000000000001E-2</v>
      </c>
      <c r="I51" s="14">
        <v>1.8200000000000001E-2</v>
      </c>
      <c r="J51" s="14">
        <v>1.17E-2</v>
      </c>
      <c r="K51" s="14">
        <v>5.0000000000000001E-3</v>
      </c>
      <c r="L51" s="13">
        <v>381074351</v>
      </c>
      <c r="M51" s="13">
        <v>75218511</v>
      </c>
      <c r="N51" s="13">
        <f t="shared" si="0"/>
        <v>305855840</v>
      </c>
    </row>
    <row r="52" spans="1:14" ht="15" customHeight="1" x14ac:dyDescent="0.35">
      <c r="A52" s="11">
        <v>17</v>
      </c>
      <c r="B52" s="12">
        <v>45597</v>
      </c>
      <c r="C52" s="13">
        <v>6902635837</v>
      </c>
      <c r="D52" s="13">
        <v>7233151353</v>
      </c>
      <c r="E52" s="14">
        <v>5.5300000000000002E-2</v>
      </c>
      <c r="F52" s="14">
        <v>0.20680000000000001</v>
      </c>
      <c r="G52" s="14">
        <v>2.1700000000000001E-2</v>
      </c>
      <c r="H52" s="14">
        <v>1.24E-2</v>
      </c>
      <c r="I52" s="14">
        <v>4.7000000000000002E-3</v>
      </c>
      <c r="J52" s="14">
        <v>2.5999999999999999E-3</v>
      </c>
      <c r="K52" s="14">
        <v>2E-3</v>
      </c>
      <c r="L52" s="13">
        <v>420009321</v>
      </c>
      <c r="M52" s="13">
        <v>83272148</v>
      </c>
      <c r="N52" s="13">
        <f t="shared" si="0"/>
        <v>336737173</v>
      </c>
    </row>
    <row r="53" spans="1:14" ht="15" customHeight="1" x14ac:dyDescent="0.35">
      <c r="A53" s="11">
        <v>18</v>
      </c>
      <c r="B53" s="12">
        <v>45627</v>
      </c>
      <c r="C53" s="13">
        <v>8597122128</v>
      </c>
      <c r="D53" s="13">
        <v>9130754310</v>
      </c>
      <c r="E53" s="14">
        <v>5.5899999999999998E-2</v>
      </c>
      <c r="F53" s="14">
        <v>0.1515</v>
      </c>
      <c r="G53" s="14">
        <v>7.6899999999999996E-2</v>
      </c>
      <c r="H53" s="14">
        <v>3.2099999999999997E-2</v>
      </c>
      <c r="I53" s="14">
        <v>2.0899999999999998E-2</v>
      </c>
      <c r="J53" s="14">
        <v>1.14E-2</v>
      </c>
      <c r="K53" s="14">
        <v>1.2500000000000001E-2</v>
      </c>
      <c r="L53" s="13">
        <v>457754261</v>
      </c>
      <c r="M53" s="13">
        <v>88991362</v>
      </c>
      <c r="N53" s="13">
        <f t="shared" si="0"/>
        <v>368762899</v>
      </c>
    </row>
    <row r="54" spans="1:14" ht="15" customHeight="1" x14ac:dyDescent="0.35">
      <c r="A54" s="11">
        <v>19</v>
      </c>
      <c r="B54" s="12">
        <v>45658</v>
      </c>
      <c r="C54" s="13">
        <v>7340920708</v>
      </c>
      <c r="D54" s="13">
        <v>7703923952</v>
      </c>
      <c r="E54" s="14">
        <v>6.2600000000000003E-2</v>
      </c>
      <c r="F54" s="14">
        <v>0.16400000000000001</v>
      </c>
      <c r="G54" s="14">
        <v>3.3300000000000003E-2</v>
      </c>
      <c r="H54" s="14">
        <v>1.7899999999999999E-2</v>
      </c>
      <c r="I54" s="14">
        <v>7.7000000000000002E-3</v>
      </c>
      <c r="J54" s="14">
        <v>5.3E-3</v>
      </c>
      <c r="K54" s="14">
        <v>2.3999999999999998E-3</v>
      </c>
      <c r="L54" s="13">
        <v>486952076</v>
      </c>
      <c r="M54" s="13">
        <v>93778577</v>
      </c>
      <c r="N54" s="13">
        <f t="shared" si="0"/>
        <v>393173499</v>
      </c>
    </row>
    <row r="55" spans="1:14" ht="15" customHeight="1" x14ac:dyDescent="0.35">
      <c r="A55" s="11">
        <v>20</v>
      </c>
      <c r="B55" s="12">
        <v>45689</v>
      </c>
      <c r="C55" s="13">
        <v>7480725670</v>
      </c>
      <c r="D55" s="13">
        <v>7965148485</v>
      </c>
      <c r="E55" s="14">
        <v>6.2300000000000001E-2</v>
      </c>
      <c r="F55" s="14">
        <v>0.25540000000000002</v>
      </c>
      <c r="G55" s="14">
        <v>3.6299999999999999E-2</v>
      </c>
      <c r="H55" s="14">
        <v>1.6299999999999999E-2</v>
      </c>
      <c r="I55" s="14">
        <v>7.7000000000000002E-3</v>
      </c>
      <c r="J55" s="14">
        <v>4.3E-3</v>
      </c>
      <c r="K55" s="14">
        <v>7.9000000000000008E-3</v>
      </c>
      <c r="L55" s="13">
        <v>505538718</v>
      </c>
      <c r="M55" s="13">
        <v>98526130</v>
      </c>
      <c r="N55" s="13">
        <f t="shared" si="0"/>
        <v>407012588</v>
      </c>
    </row>
    <row r="56" spans="1:14" ht="15" customHeight="1" x14ac:dyDescent="0.35">
      <c r="A56" s="11">
        <v>21</v>
      </c>
      <c r="B56" s="12">
        <v>45717</v>
      </c>
      <c r="C56" s="13">
        <v>7586229363</v>
      </c>
      <c r="D56" s="13">
        <v>7822229301</v>
      </c>
      <c r="E56" s="14">
        <v>6.4500000000000002E-2</v>
      </c>
      <c r="F56" s="14">
        <v>0.22259999999999999</v>
      </c>
      <c r="G56" s="14">
        <v>6.3500000000000001E-2</v>
      </c>
      <c r="H56" s="14">
        <v>3.78E-2</v>
      </c>
      <c r="I56" s="14">
        <v>1.6E-2</v>
      </c>
      <c r="J56" s="14">
        <v>8.0999999999999996E-3</v>
      </c>
      <c r="K56" s="14">
        <v>1.5E-3</v>
      </c>
      <c r="L56" s="13">
        <v>523554501</v>
      </c>
      <c r="M56" s="13">
        <v>102536980</v>
      </c>
      <c r="N56" s="13">
        <f t="shared" si="0"/>
        <v>421017521</v>
      </c>
    </row>
    <row r="57" spans="1:14" ht="15" customHeight="1" x14ac:dyDescent="0.35">
      <c r="A57" s="11">
        <v>22</v>
      </c>
      <c r="B57" s="12">
        <v>45748</v>
      </c>
      <c r="C57" s="13">
        <v>8111290657</v>
      </c>
      <c r="D57" s="13">
        <v>8360846622</v>
      </c>
      <c r="E57" s="14">
        <v>6.6100000000000006E-2</v>
      </c>
      <c r="F57" s="14">
        <v>0.2301</v>
      </c>
      <c r="G57" s="14">
        <v>3.6499999999999998E-2</v>
      </c>
      <c r="H57" s="14">
        <v>2.1700000000000001E-2</v>
      </c>
      <c r="I57" s="14">
        <v>9.2999999999999992E-3</v>
      </c>
      <c r="J57" s="14">
        <v>6.1999999999999998E-3</v>
      </c>
      <c r="K57" s="14">
        <v>0</v>
      </c>
      <c r="L57" s="13">
        <v>542342886</v>
      </c>
      <c r="M57" s="13">
        <v>106860568</v>
      </c>
      <c r="N57" s="13">
        <f t="shared" si="0"/>
        <v>435482318</v>
      </c>
    </row>
    <row r="58" spans="1:14" ht="15" customHeight="1" x14ac:dyDescent="0.35">
      <c r="A58" s="11">
        <v>23</v>
      </c>
      <c r="B58" s="12">
        <v>45778</v>
      </c>
      <c r="C58" s="13">
        <v>6028574182</v>
      </c>
      <c r="D58" s="13">
        <v>6464821006</v>
      </c>
      <c r="E58" s="14">
        <v>7.2999999999999995E-2</v>
      </c>
      <c r="F58" s="14">
        <v>0.22040000000000001</v>
      </c>
      <c r="G58" s="14">
        <v>4.6399999999999997E-2</v>
      </c>
      <c r="H58" s="14">
        <v>2.0299999999999999E-2</v>
      </c>
      <c r="I58" s="14">
        <v>9.4999999999999998E-3</v>
      </c>
      <c r="J58" s="14">
        <v>8.9999999999999993E-3</v>
      </c>
      <c r="K58" s="14">
        <v>7.6E-3</v>
      </c>
      <c r="L58" s="13">
        <v>571674762</v>
      </c>
      <c r="M58" s="13">
        <v>113325594</v>
      </c>
      <c r="N58" s="13">
        <f t="shared" si="0"/>
        <v>458349168</v>
      </c>
    </row>
    <row r="59" spans="1:14" ht="15" customHeight="1" x14ac:dyDescent="0.35">
      <c r="A59" s="11">
        <v>24</v>
      </c>
      <c r="B59" s="12">
        <v>45809</v>
      </c>
      <c r="C59" s="13">
        <v>5953989448</v>
      </c>
      <c r="D59" s="13">
        <v>6099534305</v>
      </c>
      <c r="E59" s="14">
        <v>7.6399999999999996E-2</v>
      </c>
      <c r="F59" s="14">
        <v>0.158</v>
      </c>
      <c r="G59" s="14">
        <v>2.9000000000000001E-2</v>
      </c>
      <c r="H59" s="14">
        <v>1.4800000000000001E-2</v>
      </c>
      <c r="I59" s="14">
        <v>6.7000000000000002E-3</v>
      </c>
      <c r="J59" s="14">
        <v>5.7999999999999996E-3</v>
      </c>
      <c r="K59" s="14">
        <v>1.6999999999999999E-3</v>
      </c>
      <c r="L59" s="13">
        <v>590228308</v>
      </c>
      <c r="M59" s="13">
        <v>116257821</v>
      </c>
      <c r="N59" s="13">
        <f t="shared" si="0"/>
        <v>473970487</v>
      </c>
    </row>
  </sheetData>
  <mergeCells count="15">
    <mergeCell ref="C28:D28"/>
    <mergeCell ref="A34:G34"/>
    <mergeCell ref="H34:N34"/>
    <mergeCell ref="C29:C33"/>
    <mergeCell ref="D29:D33"/>
    <mergeCell ref="E29:E33"/>
    <mergeCell ref="F29:F33"/>
    <mergeCell ref="G29:G33"/>
    <mergeCell ref="H29:H33"/>
    <mergeCell ref="I29:I33"/>
    <mergeCell ref="J29:J33"/>
    <mergeCell ref="K29:K33"/>
    <mergeCell ref="L29:L33"/>
    <mergeCell ref="M29:M33"/>
    <mergeCell ref="N29:N33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7:N37"/>
  <sheetViews>
    <sheetView tabSelected="1" topLeftCell="A9" zoomScaleNormal="100" workbookViewId="0">
      <selection activeCell="J21" sqref="J21"/>
    </sheetView>
  </sheetViews>
  <sheetFormatPr defaultColWidth="8.6328125" defaultRowHeight="14.5" x14ac:dyDescent="0.35"/>
  <cols>
    <col min="1" max="2" width="12" customWidth="1"/>
    <col min="3" max="3" width="15.36328125" customWidth="1"/>
    <col min="4" max="5" width="12" customWidth="1"/>
    <col min="6" max="12" width="13.26953125" customWidth="1"/>
    <col min="14" max="14" width="12.81640625" bestFit="1" customWidth="1"/>
  </cols>
  <sheetData>
    <row r="7" spans="1:14" ht="15" x14ac:dyDescent="0.35">
      <c r="A7" s="45" t="s">
        <v>255</v>
      </c>
      <c r="E7" s="46"/>
    </row>
    <row r="8" spans="1:14" s="73" customFormat="1" ht="12" x14ac:dyDescent="0.3">
      <c r="C8" s="97" t="s">
        <v>361</v>
      </c>
      <c r="D8" s="97" t="s">
        <v>360</v>
      </c>
      <c r="E8" s="87" t="s">
        <v>359</v>
      </c>
      <c r="F8" s="97" t="s">
        <v>362</v>
      </c>
      <c r="G8" s="87" t="s">
        <v>363</v>
      </c>
      <c r="H8" s="97" t="s">
        <v>364</v>
      </c>
      <c r="I8" s="97" t="s">
        <v>365</v>
      </c>
      <c r="J8" s="97" t="s">
        <v>366</v>
      </c>
      <c r="K8" s="97" t="s">
        <v>367</v>
      </c>
      <c r="L8" s="97" t="s">
        <v>368</v>
      </c>
    </row>
    <row r="9" spans="1:14" s="73" customFormat="1" ht="12" x14ac:dyDescent="0.3">
      <c r="C9" s="97"/>
      <c r="D9" s="97"/>
      <c r="E9" s="87"/>
      <c r="F9" s="97"/>
      <c r="G9" s="87"/>
      <c r="H9" s="97"/>
      <c r="I9" s="97"/>
      <c r="J9" s="97"/>
      <c r="K9" s="97"/>
      <c r="L9" s="97"/>
    </row>
    <row r="10" spans="1:14" s="73" customFormat="1" ht="12" x14ac:dyDescent="0.3">
      <c r="B10" s="107" t="s">
        <v>369</v>
      </c>
      <c r="C10" s="97"/>
      <c r="D10" s="97"/>
      <c r="E10" s="87"/>
      <c r="F10" s="97"/>
      <c r="G10" s="87"/>
      <c r="H10" s="97"/>
      <c r="I10" s="97"/>
      <c r="J10" s="97"/>
      <c r="K10" s="97"/>
      <c r="L10" s="97"/>
    </row>
    <row r="11" spans="1:14" s="73" customFormat="1" ht="12" x14ac:dyDescent="0.3">
      <c r="B11" s="107"/>
      <c r="C11" s="97"/>
      <c r="D11" s="97"/>
      <c r="E11" s="87"/>
      <c r="F11" s="97"/>
      <c r="G11" s="87"/>
      <c r="H11" s="97"/>
      <c r="I11" s="97"/>
      <c r="J11" s="97"/>
      <c r="K11" s="97"/>
      <c r="L11" s="97"/>
    </row>
    <row r="12" spans="1:14" s="73" customFormat="1" ht="12" x14ac:dyDescent="0.3">
      <c r="B12" s="107"/>
      <c r="C12" s="97"/>
      <c r="D12" s="97"/>
      <c r="E12" s="87"/>
      <c r="F12" s="97"/>
      <c r="G12" s="87"/>
      <c r="H12" s="97"/>
      <c r="I12" s="97"/>
      <c r="J12" s="97"/>
      <c r="K12" s="97"/>
      <c r="L12" s="97"/>
    </row>
    <row r="13" spans="1:14" ht="23.25" customHeight="1" x14ac:dyDescent="0.35">
      <c r="A13" s="5" t="s">
        <v>40</v>
      </c>
      <c r="B13" s="5" t="s">
        <v>41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  <c r="K13" s="5" t="s">
        <v>51</v>
      </c>
      <c r="L13" s="5" t="s">
        <v>52</v>
      </c>
    </row>
    <row r="14" spans="1:14" ht="15" customHeight="1" x14ac:dyDescent="0.35">
      <c r="A14" s="11">
        <v>1</v>
      </c>
      <c r="B14" s="12">
        <v>45108</v>
      </c>
      <c r="C14" s="15">
        <v>1.1812</v>
      </c>
      <c r="D14" s="11">
        <v>0</v>
      </c>
      <c r="E14" s="15">
        <v>1.1000000000000001</v>
      </c>
      <c r="F14" s="13">
        <v>14094765</v>
      </c>
      <c r="G14" s="13">
        <v>200000000</v>
      </c>
      <c r="H14" s="13">
        <v>337222249</v>
      </c>
      <c r="I14" s="13">
        <v>7000000000</v>
      </c>
      <c r="J14" s="13">
        <v>2000000000</v>
      </c>
      <c r="K14" s="13">
        <v>0</v>
      </c>
      <c r="L14" s="13">
        <v>0</v>
      </c>
      <c r="M14" s="13">
        <v>9505544818</v>
      </c>
      <c r="N14" s="75">
        <f>M14+F14</f>
        <v>9519639583</v>
      </c>
    </row>
    <row r="15" spans="1:14" ht="15" customHeight="1" x14ac:dyDescent="0.35">
      <c r="A15" s="11">
        <v>2</v>
      </c>
      <c r="B15" s="12">
        <v>45139</v>
      </c>
      <c r="C15" s="15">
        <v>1.1380999999999999</v>
      </c>
      <c r="D15" s="11">
        <v>0</v>
      </c>
      <c r="E15" s="15">
        <v>1.1000000000000001</v>
      </c>
      <c r="F15" s="13">
        <v>26933353</v>
      </c>
      <c r="G15" s="13">
        <v>200000000</v>
      </c>
      <c r="H15" s="13">
        <v>235154339</v>
      </c>
      <c r="I15" s="13">
        <v>7000000000</v>
      </c>
      <c r="J15" s="13">
        <v>2000000000</v>
      </c>
      <c r="K15" s="13">
        <v>0</v>
      </c>
      <c r="L15" s="13">
        <v>0</v>
      </c>
      <c r="N15" s="75">
        <f>I14+J14</f>
        <v>9000000000</v>
      </c>
    </row>
    <row r="16" spans="1:14" ht="15" customHeight="1" x14ac:dyDescent="0.35">
      <c r="A16" s="11">
        <v>3</v>
      </c>
      <c r="B16" s="12">
        <v>45170</v>
      </c>
      <c r="C16" s="15">
        <v>1.1554</v>
      </c>
      <c r="D16" s="11">
        <v>0</v>
      </c>
      <c r="E16" s="15">
        <v>1.1000000000000001</v>
      </c>
      <c r="F16" s="13">
        <v>44835853</v>
      </c>
      <c r="G16" s="13">
        <v>200000000</v>
      </c>
      <c r="H16" s="13">
        <v>397009378</v>
      </c>
      <c r="I16" s="13">
        <v>7000000000</v>
      </c>
      <c r="J16" s="13">
        <v>2000000000</v>
      </c>
      <c r="K16" s="13">
        <v>0</v>
      </c>
      <c r="L16" s="13">
        <v>0</v>
      </c>
      <c r="M16" t="s">
        <v>370</v>
      </c>
      <c r="N16" s="76">
        <f>N14/N15</f>
        <v>1.0577377314444445</v>
      </c>
    </row>
    <row r="17" spans="1:12" ht="15" customHeight="1" x14ac:dyDescent="0.35">
      <c r="A17" s="11">
        <v>4</v>
      </c>
      <c r="B17" s="12">
        <v>45200</v>
      </c>
      <c r="C17" s="15">
        <v>1.1444000000000001</v>
      </c>
      <c r="D17" s="11">
        <v>0</v>
      </c>
      <c r="E17" s="15">
        <v>1.1000000000000001</v>
      </c>
      <c r="F17" s="13">
        <v>59151263</v>
      </c>
      <c r="G17" s="13">
        <v>200000000</v>
      </c>
      <c r="H17" s="13">
        <v>282889274</v>
      </c>
      <c r="I17" s="13">
        <v>7000000000</v>
      </c>
      <c r="J17" s="13">
        <v>2000000000</v>
      </c>
      <c r="K17" s="13">
        <v>0</v>
      </c>
      <c r="L17" s="13">
        <v>0</v>
      </c>
    </row>
    <row r="18" spans="1:12" ht="15" customHeight="1" x14ac:dyDescent="0.35">
      <c r="A18" s="11">
        <v>5</v>
      </c>
      <c r="B18" s="12">
        <v>45231</v>
      </c>
      <c r="C18" s="15">
        <v>1.1792</v>
      </c>
      <c r="D18" s="11">
        <v>0</v>
      </c>
      <c r="E18" s="15">
        <v>1.1000000000000001</v>
      </c>
      <c r="F18" s="13">
        <v>78365116</v>
      </c>
      <c r="G18" s="13">
        <v>200000000</v>
      </c>
      <c r="H18" s="13">
        <v>162336372</v>
      </c>
      <c r="I18" s="13">
        <v>7000000000</v>
      </c>
      <c r="J18" s="13">
        <v>2000000000</v>
      </c>
      <c r="K18" s="13">
        <v>0</v>
      </c>
      <c r="L18" s="13">
        <v>0</v>
      </c>
    </row>
    <row r="19" spans="1:12" ht="15" customHeight="1" x14ac:dyDescent="0.35">
      <c r="A19" s="11">
        <v>6</v>
      </c>
      <c r="B19" s="12">
        <v>45261</v>
      </c>
      <c r="C19" s="15">
        <v>1.1369</v>
      </c>
      <c r="D19" s="11">
        <v>0</v>
      </c>
      <c r="E19" s="15">
        <v>1.1000000000000001</v>
      </c>
      <c r="F19" s="13">
        <v>93271538</v>
      </c>
      <c r="G19" s="13">
        <v>200000000</v>
      </c>
      <c r="H19" s="13">
        <v>147117128</v>
      </c>
      <c r="I19" s="13">
        <v>7000000000</v>
      </c>
      <c r="J19" s="13">
        <v>2000000000</v>
      </c>
      <c r="K19" s="13">
        <v>0</v>
      </c>
      <c r="L19" s="13">
        <v>0</v>
      </c>
    </row>
    <row r="20" spans="1:12" ht="15" customHeight="1" x14ac:dyDescent="0.35">
      <c r="A20" s="11">
        <v>7</v>
      </c>
      <c r="B20" s="12">
        <v>45292</v>
      </c>
      <c r="C20" s="15">
        <v>1.1338999999999999</v>
      </c>
      <c r="D20" s="11">
        <v>0</v>
      </c>
      <c r="E20" s="15">
        <v>1.1000000000000001</v>
      </c>
      <c r="F20" s="13">
        <v>99397511</v>
      </c>
      <c r="G20" s="13">
        <v>200000000</v>
      </c>
      <c r="H20" s="13">
        <v>100802717</v>
      </c>
      <c r="I20" s="13">
        <v>7000000000</v>
      </c>
      <c r="J20" s="13">
        <v>2000000000</v>
      </c>
      <c r="K20" s="13">
        <v>0</v>
      </c>
      <c r="L20" s="13">
        <v>0</v>
      </c>
    </row>
    <row r="21" spans="1:12" ht="15" customHeight="1" x14ac:dyDescent="0.35">
      <c r="A21" s="11">
        <v>8</v>
      </c>
      <c r="B21" s="12">
        <v>45323</v>
      </c>
      <c r="C21" s="15">
        <v>1.1559999999999999</v>
      </c>
      <c r="D21" s="11">
        <v>0</v>
      </c>
      <c r="E21" s="15">
        <v>1.1000000000000001</v>
      </c>
      <c r="F21" s="13">
        <v>113304679</v>
      </c>
      <c r="G21" s="13">
        <v>200000000</v>
      </c>
      <c r="H21" s="13">
        <v>187377787</v>
      </c>
      <c r="I21" s="13">
        <v>7000000000</v>
      </c>
      <c r="J21" s="13">
        <v>2000000000</v>
      </c>
      <c r="K21" s="13">
        <v>0</v>
      </c>
      <c r="L21" s="13">
        <v>0</v>
      </c>
    </row>
    <row r="22" spans="1:12" ht="15" customHeight="1" x14ac:dyDescent="0.35">
      <c r="A22" s="11">
        <v>9</v>
      </c>
      <c r="B22" s="12">
        <v>45352</v>
      </c>
      <c r="C22" s="15">
        <v>1.1385000000000001</v>
      </c>
      <c r="D22" s="11">
        <v>0</v>
      </c>
      <c r="E22" s="15">
        <v>1.1000000000000001</v>
      </c>
      <c r="F22" s="13">
        <v>128909016</v>
      </c>
      <c r="G22" s="13">
        <v>200000000</v>
      </c>
      <c r="H22" s="13">
        <v>310896267</v>
      </c>
      <c r="I22" s="13">
        <v>7000000000</v>
      </c>
      <c r="J22" s="13">
        <v>2000000000</v>
      </c>
      <c r="K22" s="13">
        <v>0</v>
      </c>
      <c r="L22" s="13">
        <v>0</v>
      </c>
    </row>
    <row r="23" spans="1:12" ht="15" customHeight="1" x14ac:dyDescent="0.35">
      <c r="A23" s="11">
        <v>10</v>
      </c>
      <c r="B23" s="12">
        <v>45383</v>
      </c>
      <c r="C23" s="15">
        <v>1.1563000000000001</v>
      </c>
      <c r="D23" s="11">
        <v>0</v>
      </c>
      <c r="E23" s="15">
        <v>1.1000000000000001</v>
      </c>
      <c r="F23" s="13">
        <v>144219790</v>
      </c>
      <c r="G23" s="13">
        <v>200000000</v>
      </c>
      <c r="H23" s="13">
        <v>377173313</v>
      </c>
      <c r="I23" s="13">
        <v>7000000000</v>
      </c>
      <c r="J23" s="13">
        <v>2000000000</v>
      </c>
      <c r="K23" s="13">
        <v>0</v>
      </c>
      <c r="L23" s="13">
        <v>0</v>
      </c>
    </row>
    <row r="24" spans="1:12" ht="15" customHeight="1" x14ac:dyDescent="0.35">
      <c r="A24" s="11">
        <v>11</v>
      </c>
      <c r="B24" s="12">
        <v>45413</v>
      </c>
      <c r="C24" s="15">
        <v>1.1830000000000001</v>
      </c>
      <c r="D24" s="11">
        <v>0</v>
      </c>
      <c r="E24" s="15">
        <v>1.1000000000000001</v>
      </c>
      <c r="F24" s="13">
        <v>158595660</v>
      </c>
      <c r="G24" s="13">
        <v>200000000</v>
      </c>
      <c r="H24" s="13">
        <v>298354913</v>
      </c>
      <c r="I24" s="13">
        <v>7000000000</v>
      </c>
      <c r="J24" s="13">
        <v>2000000000</v>
      </c>
      <c r="K24" s="13">
        <v>0</v>
      </c>
      <c r="L24" s="13">
        <v>0</v>
      </c>
    </row>
    <row r="25" spans="1:12" ht="15" customHeight="1" x14ac:dyDescent="0.35">
      <c r="A25" s="11">
        <v>12</v>
      </c>
      <c r="B25" s="12">
        <v>45444</v>
      </c>
      <c r="C25" s="15">
        <v>1.1947000000000001</v>
      </c>
      <c r="D25" s="11">
        <v>0</v>
      </c>
      <c r="E25" s="15">
        <v>1.1000000000000001</v>
      </c>
      <c r="F25" s="13">
        <v>169972744</v>
      </c>
      <c r="G25" s="13">
        <v>200000000</v>
      </c>
      <c r="H25" s="13">
        <v>263368714</v>
      </c>
      <c r="I25" s="13">
        <v>7000000000</v>
      </c>
      <c r="J25" s="13">
        <v>2000000000</v>
      </c>
      <c r="K25" s="13">
        <v>0</v>
      </c>
      <c r="L25" s="13">
        <v>0</v>
      </c>
    </row>
    <row r="26" spans="1:12" ht="15" customHeight="1" x14ac:dyDescent="0.35">
      <c r="A26" s="11">
        <v>13</v>
      </c>
      <c r="B26" s="12">
        <v>45474</v>
      </c>
      <c r="C26" s="15">
        <v>1.1718</v>
      </c>
      <c r="D26" s="11">
        <v>0</v>
      </c>
      <c r="E26" s="15">
        <v>1.1000000000000001</v>
      </c>
      <c r="F26" s="13">
        <v>188598916</v>
      </c>
      <c r="G26" s="13">
        <v>200000000</v>
      </c>
      <c r="H26" s="13">
        <v>347989348</v>
      </c>
      <c r="I26" s="13">
        <v>6725723278</v>
      </c>
      <c r="J26" s="13">
        <v>2000000000</v>
      </c>
      <c r="K26" s="13">
        <v>0</v>
      </c>
      <c r="L26" s="13">
        <v>0</v>
      </c>
    </row>
    <row r="27" spans="1:12" ht="15" customHeight="1" x14ac:dyDescent="0.35">
      <c r="A27" s="11">
        <v>14</v>
      </c>
      <c r="B27" s="12">
        <v>45505</v>
      </c>
      <c r="C27" s="15">
        <v>1.0616000000000001</v>
      </c>
      <c r="D27" s="11">
        <v>1</v>
      </c>
      <c r="E27" s="15">
        <v>1.1000000000000001</v>
      </c>
      <c r="F27" s="13">
        <v>198213093</v>
      </c>
      <c r="G27" s="13">
        <v>200000000</v>
      </c>
      <c r="H27" s="13">
        <v>324687317</v>
      </c>
      <c r="I27" s="13">
        <v>6444012334</v>
      </c>
      <c r="J27" s="13">
        <v>2000000000</v>
      </c>
      <c r="K27" s="13">
        <v>0</v>
      </c>
      <c r="L27" s="13">
        <v>0</v>
      </c>
    </row>
    <row r="28" spans="1:12" ht="15" customHeight="1" x14ac:dyDescent="0.35">
      <c r="A28" s="11">
        <v>15</v>
      </c>
      <c r="B28" s="12">
        <v>45536</v>
      </c>
      <c r="C28" s="15">
        <v>1.0275000000000001</v>
      </c>
      <c r="D28" s="11">
        <v>1</v>
      </c>
      <c r="E28" s="15">
        <v>1.1000000000000001</v>
      </c>
      <c r="F28" s="13">
        <v>213543263</v>
      </c>
      <c r="G28" s="13">
        <v>200000000</v>
      </c>
      <c r="H28" s="13">
        <v>309920105</v>
      </c>
      <c r="I28" s="13">
        <v>6192101305</v>
      </c>
      <c r="J28" s="13">
        <v>2000000000</v>
      </c>
      <c r="K28" s="13">
        <v>22521248</v>
      </c>
      <c r="L28" s="13">
        <v>0</v>
      </c>
    </row>
    <row r="29" spans="1:12" ht="15" customHeight="1" x14ac:dyDescent="0.35">
      <c r="A29" s="11">
        <v>16</v>
      </c>
      <c r="B29" s="12">
        <v>45566</v>
      </c>
      <c r="C29" s="15">
        <v>1.0247999999999999</v>
      </c>
      <c r="D29" s="11">
        <v>1</v>
      </c>
      <c r="E29" s="15">
        <v>1.1000000000000001</v>
      </c>
      <c r="F29" s="13">
        <v>219141175</v>
      </c>
      <c r="G29" s="13">
        <v>200000000</v>
      </c>
      <c r="H29" s="13">
        <v>229608599</v>
      </c>
      <c r="I29" s="13">
        <v>6506607050</v>
      </c>
      <c r="J29" s="13">
        <v>1887444815</v>
      </c>
      <c r="K29" s="13">
        <v>4109710</v>
      </c>
      <c r="L29" s="13">
        <v>26933511</v>
      </c>
    </row>
    <row r="30" spans="1:12" ht="15" customHeight="1" x14ac:dyDescent="0.35">
      <c r="A30" s="11">
        <v>17</v>
      </c>
      <c r="B30" s="12">
        <v>45597</v>
      </c>
      <c r="C30" s="15">
        <v>1.1085</v>
      </c>
      <c r="D30" s="11">
        <v>0</v>
      </c>
      <c r="E30" s="15">
        <v>1.1000000000000001</v>
      </c>
      <c r="F30" s="13">
        <v>232769162</v>
      </c>
      <c r="G30" s="13">
        <v>200000000</v>
      </c>
      <c r="H30" s="13">
        <v>385235883</v>
      </c>
      <c r="I30" s="13">
        <v>6040273653</v>
      </c>
      <c r="J30" s="13">
        <v>1812434947</v>
      </c>
      <c r="K30" s="13">
        <v>12127996</v>
      </c>
      <c r="L30" s="13">
        <v>1126487</v>
      </c>
    </row>
    <row r="31" spans="1:12" ht="15" customHeight="1" x14ac:dyDescent="0.35">
      <c r="A31" s="11">
        <v>18</v>
      </c>
      <c r="B31" s="12">
        <v>45627</v>
      </c>
      <c r="C31" s="15">
        <v>1.1605000000000001</v>
      </c>
      <c r="D31" s="11">
        <v>0</v>
      </c>
      <c r="E31" s="15">
        <v>1.1000000000000001</v>
      </c>
      <c r="F31" s="13">
        <v>244826674</v>
      </c>
      <c r="G31" s="13">
        <v>200000000</v>
      </c>
      <c r="H31" s="13">
        <v>295452847</v>
      </c>
      <c r="I31" s="13">
        <v>6037070504</v>
      </c>
      <c r="J31" s="13">
        <v>1884146845</v>
      </c>
      <c r="K31" s="13">
        <v>26339833</v>
      </c>
      <c r="L31" s="13">
        <v>17773972</v>
      </c>
    </row>
    <row r="32" spans="1:12" ht="15" customHeight="1" x14ac:dyDescent="0.35">
      <c r="A32" s="11">
        <v>19</v>
      </c>
      <c r="B32" s="12">
        <v>45658</v>
      </c>
      <c r="C32" s="15">
        <v>1.1393</v>
      </c>
      <c r="D32" s="11">
        <v>0</v>
      </c>
      <c r="E32" s="15">
        <v>1.1000000000000001</v>
      </c>
      <c r="F32" s="13">
        <v>251195310</v>
      </c>
      <c r="G32" s="13">
        <v>200000000</v>
      </c>
      <c r="H32" s="13">
        <v>204388317</v>
      </c>
      <c r="I32" s="13">
        <v>6400017957</v>
      </c>
      <c r="J32" s="13">
        <v>1789375968</v>
      </c>
      <c r="K32" s="13">
        <v>38597989</v>
      </c>
      <c r="L32" s="13">
        <v>9234503</v>
      </c>
    </row>
    <row r="33" spans="1:12" ht="15" customHeight="1" x14ac:dyDescent="0.35">
      <c r="A33" s="11">
        <v>20</v>
      </c>
      <c r="B33" s="12">
        <v>45689</v>
      </c>
      <c r="C33" s="15">
        <v>1.1555</v>
      </c>
      <c r="D33" s="11">
        <v>0</v>
      </c>
      <c r="E33" s="15">
        <v>1.1000000000000001</v>
      </c>
      <c r="F33" s="13">
        <v>251066642</v>
      </c>
      <c r="G33" s="13">
        <v>200000000</v>
      </c>
      <c r="H33" s="13">
        <v>344069810</v>
      </c>
      <c r="I33" s="13">
        <v>6201926577</v>
      </c>
      <c r="J33" s="13">
        <v>1818583077</v>
      </c>
      <c r="K33" s="13">
        <v>14153272</v>
      </c>
      <c r="L33" s="13">
        <v>9051666</v>
      </c>
    </row>
    <row r="34" spans="1:12" ht="15" customHeight="1" x14ac:dyDescent="0.35">
      <c r="A34" s="11">
        <v>21</v>
      </c>
      <c r="B34" s="12">
        <v>45717</v>
      </c>
      <c r="C34" s="15">
        <v>1.1776</v>
      </c>
      <c r="D34" s="11">
        <v>0</v>
      </c>
      <c r="E34" s="15">
        <v>1.1000000000000001</v>
      </c>
      <c r="F34" s="13">
        <v>256983305</v>
      </c>
      <c r="G34" s="13">
        <v>200000000</v>
      </c>
      <c r="H34" s="13">
        <v>396435764</v>
      </c>
      <c r="I34" s="13">
        <v>6073871691</v>
      </c>
      <c r="J34" s="13">
        <v>1791481281</v>
      </c>
      <c r="K34" s="13">
        <v>18596141</v>
      </c>
      <c r="L34" s="13">
        <v>5252311</v>
      </c>
    </row>
    <row r="35" spans="1:12" ht="15" customHeight="1" x14ac:dyDescent="0.35">
      <c r="A35" s="11">
        <v>22</v>
      </c>
      <c r="B35" s="12">
        <v>45748</v>
      </c>
      <c r="C35" s="15">
        <v>1.1289</v>
      </c>
      <c r="D35" s="11">
        <v>0</v>
      </c>
      <c r="E35" s="15">
        <v>1.1000000000000001</v>
      </c>
      <c r="F35" s="13">
        <v>267075865</v>
      </c>
      <c r="G35" s="13">
        <v>200000000</v>
      </c>
      <c r="H35" s="13">
        <v>327997161</v>
      </c>
      <c r="I35" s="13">
        <v>6409011080</v>
      </c>
      <c r="J35" s="13">
        <v>1779663876</v>
      </c>
      <c r="K35" s="13">
        <v>41745274</v>
      </c>
      <c r="L35" s="13">
        <v>12267251</v>
      </c>
    </row>
    <row r="36" spans="1:12" ht="15" customHeight="1" x14ac:dyDescent="0.35">
      <c r="A36" s="11">
        <v>23</v>
      </c>
      <c r="B36" s="12">
        <v>45778</v>
      </c>
      <c r="C36" s="15">
        <v>1.1558999999999999</v>
      </c>
      <c r="D36" s="11">
        <v>0</v>
      </c>
      <c r="E36" s="15">
        <v>1.1000000000000001</v>
      </c>
      <c r="F36" s="13">
        <v>264165788</v>
      </c>
      <c r="G36" s="13">
        <v>200000000</v>
      </c>
      <c r="H36" s="13">
        <v>282661500</v>
      </c>
      <c r="I36" s="13">
        <v>6349418233</v>
      </c>
      <c r="J36" s="13">
        <v>1855156804</v>
      </c>
      <c r="K36" s="13">
        <v>24787755</v>
      </c>
      <c r="L36" s="13">
        <v>15463039</v>
      </c>
    </row>
    <row r="37" spans="1:12" ht="15" customHeight="1" x14ac:dyDescent="0.35">
      <c r="A37" s="11">
        <v>24</v>
      </c>
      <c r="B37" s="12">
        <v>45809</v>
      </c>
      <c r="C37" s="15">
        <v>1.1074999999999999</v>
      </c>
      <c r="D37" s="11">
        <v>0</v>
      </c>
      <c r="E37" s="15">
        <v>1.1000000000000001</v>
      </c>
      <c r="F37" s="13">
        <v>274920346</v>
      </c>
      <c r="G37" s="13">
        <v>200000000</v>
      </c>
      <c r="H37" s="13">
        <v>238434368</v>
      </c>
      <c r="I37" s="13">
        <v>6431931143</v>
      </c>
      <c r="J37" s="13">
        <v>1693607070</v>
      </c>
      <c r="K37" s="13">
        <v>22426898</v>
      </c>
      <c r="L37" s="13">
        <v>20064893</v>
      </c>
    </row>
  </sheetData>
  <mergeCells count="11">
    <mergeCell ref="I8:I12"/>
    <mergeCell ref="J8:J12"/>
    <mergeCell ref="K8:K12"/>
    <mergeCell ref="L8:L12"/>
    <mergeCell ref="B10:B12"/>
    <mergeCell ref="C8:C12"/>
    <mergeCell ref="D8:D12"/>
    <mergeCell ref="E8:E12"/>
    <mergeCell ref="F8:F12"/>
    <mergeCell ref="G8:G12"/>
    <mergeCell ref="H8:H12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5:J36"/>
  <sheetViews>
    <sheetView topLeftCell="F6" zoomScaleNormal="100" workbookViewId="0">
      <selection activeCell="J14" sqref="J14"/>
    </sheetView>
  </sheetViews>
  <sheetFormatPr defaultColWidth="8.6328125" defaultRowHeight="14.5" x14ac:dyDescent="0.35"/>
  <cols>
    <col min="1" max="6" width="12" customWidth="1"/>
    <col min="7" max="7" width="26" customWidth="1"/>
    <col min="8" max="10" width="12" customWidth="1"/>
  </cols>
  <sheetData>
    <row r="5" spans="1:10" x14ac:dyDescent="0.35">
      <c r="G5" s="77" t="s">
        <v>377</v>
      </c>
    </row>
    <row r="6" spans="1:10" x14ac:dyDescent="0.35">
      <c r="C6" s="97" t="s">
        <v>371</v>
      </c>
      <c r="D6" s="97" t="s">
        <v>372</v>
      </c>
      <c r="E6" s="97" t="s">
        <v>373</v>
      </c>
      <c r="F6" s="97" t="s">
        <v>374</v>
      </c>
      <c r="G6" s="87" t="s">
        <v>376</v>
      </c>
      <c r="H6" s="97" t="s">
        <v>375</v>
      </c>
      <c r="I6" s="97"/>
      <c r="J6" s="97"/>
    </row>
    <row r="7" spans="1:10" x14ac:dyDescent="0.35">
      <c r="C7" s="97"/>
      <c r="D7" s="97"/>
      <c r="E7" s="97"/>
      <c r="F7" s="97"/>
      <c r="G7" s="87"/>
      <c r="H7" s="97"/>
      <c r="I7" s="97"/>
      <c r="J7" s="97"/>
    </row>
    <row r="8" spans="1:10" x14ac:dyDescent="0.35">
      <c r="C8" s="97"/>
      <c r="D8" s="97"/>
      <c r="E8" s="97"/>
      <c r="F8" s="97"/>
      <c r="G8" s="87"/>
      <c r="H8" s="97"/>
      <c r="I8" s="97"/>
      <c r="J8" s="97"/>
    </row>
    <row r="9" spans="1:10" x14ac:dyDescent="0.35">
      <c r="C9" s="97"/>
      <c r="D9" s="97"/>
      <c r="E9" s="97"/>
      <c r="F9" s="97"/>
      <c r="G9" s="87"/>
      <c r="H9" s="97"/>
      <c r="I9" s="97"/>
      <c r="J9" s="97"/>
    </row>
    <row r="10" spans="1:10" x14ac:dyDescent="0.35">
      <c r="C10" s="97"/>
      <c r="D10" s="97"/>
      <c r="E10" s="97"/>
      <c r="F10" s="97"/>
      <c r="G10" s="87"/>
      <c r="H10" s="97"/>
      <c r="I10" s="97"/>
      <c r="J10" s="97"/>
    </row>
    <row r="11" spans="1:10" ht="15" x14ac:dyDescent="0.35">
      <c r="A11" s="45" t="s">
        <v>254</v>
      </c>
      <c r="G11" s="45"/>
    </row>
    <row r="12" spans="1:10" ht="23.25" customHeight="1" x14ac:dyDescent="0.35">
      <c r="A12" s="5" t="s">
        <v>40</v>
      </c>
      <c r="B12" s="5" t="s">
        <v>41</v>
      </c>
      <c r="C12" s="5" t="s">
        <v>453</v>
      </c>
      <c r="D12" s="5" t="s">
        <v>460</v>
      </c>
      <c r="E12" s="5" t="s">
        <v>461</v>
      </c>
      <c r="F12" s="5" t="s">
        <v>462</v>
      </c>
      <c r="G12" s="48" t="s">
        <v>256</v>
      </c>
      <c r="H12" s="5" t="s">
        <v>53</v>
      </c>
      <c r="I12" s="5" t="s">
        <v>54</v>
      </c>
      <c r="J12" s="5" t="s">
        <v>55</v>
      </c>
    </row>
    <row r="13" spans="1:10" ht="15" customHeight="1" x14ac:dyDescent="0.35">
      <c r="A13" s="11">
        <v>1</v>
      </c>
      <c r="B13" s="12">
        <v>45108</v>
      </c>
      <c r="C13" s="13">
        <v>301774403</v>
      </c>
      <c r="D13" s="13">
        <v>268885138</v>
      </c>
      <c r="E13" s="13">
        <v>32889265</v>
      </c>
      <c r="F13" s="14">
        <f t="shared" ref="F13:F36" si="0">D13/C13</f>
        <v>0.89101373518416005</v>
      </c>
      <c r="G13" s="16" t="s">
        <v>56</v>
      </c>
      <c r="H13" s="14">
        <v>0.42520000000000002</v>
      </c>
      <c r="I13" s="14">
        <v>0.39700000000000002</v>
      </c>
      <c r="J13" s="14">
        <v>0.17780000000000001</v>
      </c>
    </row>
    <row r="14" spans="1:10" ht="15" customHeight="1" x14ac:dyDescent="0.35">
      <c r="A14" s="11">
        <v>2</v>
      </c>
      <c r="B14" s="12">
        <v>45139</v>
      </c>
      <c r="C14" s="13">
        <v>248746181</v>
      </c>
      <c r="D14" s="13">
        <v>232003016</v>
      </c>
      <c r="E14" s="13">
        <v>16743165</v>
      </c>
      <c r="F14" s="14">
        <f t="shared" si="0"/>
        <v>0.93268976057164066</v>
      </c>
      <c r="G14" s="16" t="s">
        <v>56</v>
      </c>
      <c r="H14" s="14">
        <v>0.35749999999999998</v>
      </c>
      <c r="I14" s="14">
        <v>0.38829999999999998</v>
      </c>
      <c r="J14" s="14">
        <v>0.25419999999999998</v>
      </c>
    </row>
    <row r="15" spans="1:10" ht="15" customHeight="1" x14ac:dyDescent="0.35">
      <c r="A15" s="11">
        <v>3</v>
      </c>
      <c r="B15" s="12">
        <v>45170</v>
      </c>
      <c r="C15" s="13">
        <v>301648178</v>
      </c>
      <c r="D15" s="13">
        <v>296188026</v>
      </c>
      <c r="E15" s="13">
        <v>5460152</v>
      </c>
      <c r="F15" s="14">
        <f t="shared" si="0"/>
        <v>0.98189893923377192</v>
      </c>
      <c r="G15" s="16"/>
      <c r="H15" s="14">
        <v>0.42959999999999998</v>
      </c>
      <c r="I15" s="14">
        <v>0.29139999999999999</v>
      </c>
      <c r="J15" s="14">
        <v>0.27900000000000003</v>
      </c>
    </row>
    <row r="16" spans="1:10" ht="15" customHeight="1" x14ac:dyDescent="0.35">
      <c r="A16" s="11">
        <v>4</v>
      </c>
      <c r="B16" s="12">
        <v>45200</v>
      </c>
      <c r="C16" s="13">
        <v>358001236</v>
      </c>
      <c r="D16" s="13">
        <v>326583536</v>
      </c>
      <c r="E16" s="13">
        <v>31417700</v>
      </c>
      <c r="F16" s="14">
        <f t="shared" si="0"/>
        <v>0.91224136444042891</v>
      </c>
      <c r="G16" s="16" t="s">
        <v>56</v>
      </c>
      <c r="H16" s="14">
        <v>0.44009999999999999</v>
      </c>
      <c r="I16" s="14">
        <v>0.32619999999999999</v>
      </c>
      <c r="J16" s="14">
        <v>0.23369999999999999</v>
      </c>
    </row>
    <row r="17" spans="1:10" ht="15" customHeight="1" x14ac:dyDescent="0.35">
      <c r="A17" s="11">
        <v>5</v>
      </c>
      <c r="B17" s="12">
        <v>45231</v>
      </c>
      <c r="C17" s="13">
        <v>364109895</v>
      </c>
      <c r="D17" s="13">
        <v>324941081</v>
      </c>
      <c r="E17" s="13">
        <v>39168813</v>
      </c>
      <c r="F17" s="14">
        <f t="shared" si="0"/>
        <v>0.89242584577384254</v>
      </c>
      <c r="G17" s="16" t="s">
        <v>56</v>
      </c>
      <c r="H17" s="14">
        <v>0.3448</v>
      </c>
      <c r="I17" s="14">
        <v>0.33800000000000002</v>
      </c>
      <c r="J17" s="14">
        <v>0.31719999999999998</v>
      </c>
    </row>
    <row r="18" spans="1:10" ht="15" customHeight="1" x14ac:dyDescent="0.35">
      <c r="A18" s="11">
        <v>6</v>
      </c>
      <c r="B18" s="12">
        <v>45261</v>
      </c>
      <c r="C18" s="13">
        <v>399780467</v>
      </c>
      <c r="D18" s="13">
        <v>369175694</v>
      </c>
      <c r="E18" s="13">
        <v>30604773</v>
      </c>
      <c r="F18" s="14">
        <f t="shared" si="0"/>
        <v>0.92344605220544707</v>
      </c>
      <c r="G18" s="16" t="s">
        <v>56</v>
      </c>
      <c r="H18" s="14">
        <v>0.32229999999999998</v>
      </c>
      <c r="I18" s="14">
        <v>0.33079999999999998</v>
      </c>
      <c r="J18" s="14">
        <v>0.34689999999999999</v>
      </c>
    </row>
    <row r="19" spans="1:10" ht="15" customHeight="1" x14ac:dyDescent="0.35">
      <c r="A19" s="11">
        <v>7</v>
      </c>
      <c r="B19" s="12">
        <v>45292</v>
      </c>
      <c r="C19" s="13">
        <v>269024788</v>
      </c>
      <c r="D19" s="13">
        <v>250942990</v>
      </c>
      <c r="E19" s="13">
        <v>18081798</v>
      </c>
      <c r="F19" s="14">
        <f t="shared" si="0"/>
        <v>0.93278761360830442</v>
      </c>
      <c r="G19" s="16" t="s">
        <v>56</v>
      </c>
      <c r="H19" s="14">
        <v>0.38150000000000001</v>
      </c>
      <c r="I19" s="14">
        <v>0.31830000000000003</v>
      </c>
      <c r="J19" s="14">
        <v>0.30020000000000002</v>
      </c>
    </row>
    <row r="20" spans="1:10" ht="15" customHeight="1" x14ac:dyDescent="0.35">
      <c r="A20" s="11">
        <v>8</v>
      </c>
      <c r="B20" s="12">
        <v>45323</v>
      </c>
      <c r="C20" s="13">
        <v>264355470</v>
      </c>
      <c r="D20" s="13">
        <v>232182843</v>
      </c>
      <c r="E20" s="13">
        <v>32172627</v>
      </c>
      <c r="F20" s="14">
        <f t="shared" si="0"/>
        <v>0.87829785780487157</v>
      </c>
      <c r="G20" s="16" t="s">
        <v>56</v>
      </c>
      <c r="H20" s="14">
        <v>0.40460000000000002</v>
      </c>
      <c r="I20" s="14">
        <v>0.33579999999999999</v>
      </c>
      <c r="J20" s="14">
        <v>0.2596</v>
      </c>
    </row>
    <row r="21" spans="1:10" ht="15" customHeight="1" x14ac:dyDescent="0.35">
      <c r="A21" s="11">
        <v>9</v>
      </c>
      <c r="B21" s="12">
        <v>45352</v>
      </c>
      <c r="C21" s="13">
        <v>246712489</v>
      </c>
      <c r="D21" s="13">
        <v>238406092</v>
      </c>
      <c r="E21" s="13">
        <v>8306397</v>
      </c>
      <c r="F21" s="14">
        <f t="shared" si="0"/>
        <v>0.96633167200546544</v>
      </c>
      <c r="G21" s="16"/>
      <c r="H21" s="14">
        <v>0.30649999999999999</v>
      </c>
      <c r="I21" s="14">
        <v>0.36170000000000002</v>
      </c>
      <c r="J21" s="14">
        <v>0.33169999999999999</v>
      </c>
    </row>
    <row r="22" spans="1:10" ht="15" customHeight="1" x14ac:dyDescent="0.35">
      <c r="A22" s="11">
        <v>10</v>
      </c>
      <c r="B22" s="12">
        <v>45383</v>
      </c>
      <c r="C22" s="13">
        <v>341045576</v>
      </c>
      <c r="D22" s="13">
        <v>233272826</v>
      </c>
      <c r="E22" s="13">
        <v>107772750</v>
      </c>
      <c r="F22" s="14">
        <f t="shared" si="0"/>
        <v>0.6839931153365848</v>
      </c>
      <c r="G22" s="16" t="s">
        <v>57</v>
      </c>
      <c r="H22" s="14">
        <v>0.3579</v>
      </c>
      <c r="I22" s="14">
        <v>0.34960000000000002</v>
      </c>
      <c r="J22" s="14">
        <v>0.29249999999999998</v>
      </c>
    </row>
    <row r="23" spans="1:10" ht="15" customHeight="1" x14ac:dyDescent="0.35">
      <c r="A23" s="11">
        <v>11</v>
      </c>
      <c r="B23" s="12">
        <v>45413</v>
      </c>
      <c r="C23" s="13">
        <v>364149510</v>
      </c>
      <c r="D23" s="13">
        <v>270667360</v>
      </c>
      <c r="E23" s="13">
        <v>93482150</v>
      </c>
      <c r="F23" s="14">
        <f t="shared" si="0"/>
        <v>0.74328634960953266</v>
      </c>
      <c r="G23" s="16" t="s">
        <v>57</v>
      </c>
      <c r="H23" s="14">
        <v>0.37430000000000002</v>
      </c>
      <c r="I23" s="14">
        <v>0.25559999999999999</v>
      </c>
      <c r="J23" s="14">
        <v>0.37009999999999998</v>
      </c>
    </row>
    <row r="24" spans="1:10" ht="15" customHeight="1" x14ac:dyDescent="0.35">
      <c r="A24" s="11">
        <v>12</v>
      </c>
      <c r="B24" s="12">
        <v>45444</v>
      </c>
      <c r="C24" s="13">
        <v>300458230</v>
      </c>
      <c r="D24" s="13">
        <v>182246891</v>
      </c>
      <c r="E24" s="13">
        <v>118211340</v>
      </c>
      <c r="F24" s="14">
        <f t="shared" si="0"/>
        <v>0.60656315188969856</v>
      </c>
      <c r="G24" s="16" t="s">
        <v>57</v>
      </c>
      <c r="H24" s="14">
        <v>0.43049999999999999</v>
      </c>
      <c r="I24" s="14">
        <v>0.38109999999999999</v>
      </c>
      <c r="J24" s="14">
        <v>0.18840000000000001</v>
      </c>
    </row>
    <row r="25" spans="1:10" ht="15" customHeight="1" x14ac:dyDescent="0.35">
      <c r="A25" s="11">
        <v>13</v>
      </c>
      <c r="B25" s="12">
        <v>45474</v>
      </c>
      <c r="C25" s="13">
        <v>288061242</v>
      </c>
      <c r="D25" s="13">
        <v>168251640</v>
      </c>
      <c r="E25" s="13">
        <v>119809602</v>
      </c>
      <c r="F25" s="14">
        <f t="shared" si="0"/>
        <v>0.5840828805424646</v>
      </c>
      <c r="G25" s="16" t="s">
        <v>57</v>
      </c>
      <c r="H25" s="14">
        <v>0.36849999999999999</v>
      </c>
      <c r="I25" s="14">
        <v>0.3584</v>
      </c>
      <c r="J25" s="14">
        <v>0.27310000000000001</v>
      </c>
    </row>
    <row r="26" spans="1:10" ht="15" customHeight="1" x14ac:dyDescent="0.35">
      <c r="A26" s="11">
        <v>14</v>
      </c>
      <c r="B26" s="12">
        <v>45505</v>
      </c>
      <c r="C26" s="13">
        <v>281995724</v>
      </c>
      <c r="D26" s="13">
        <v>267393195</v>
      </c>
      <c r="E26" s="13">
        <v>14602528</v>
      </c>
      <c r="F26" s="14">
        <f t="shared" si="0"/>
        <v>0.94821719708061958</v>
      </c>
      <c r="G26" s="16" t="s">
        <v>56</v>
      </c>
      <c r="H26" s="14">
        <v>0.32319999999999999</v>
      </c>
      <c r="I26" s="14">
        <v>0.32040000000000002</v>
      </c>
      <c r="J26" s="14">
        <v>0.35639999999999999</v>
      </c>
    </row>
    <row r="27" spans="1:10" ht="15" customHeight="1" x14ac:dyDescent="0.35">
      <c r="A27" s="11">
        <v>15</v>
      </c>
      <c r="B27" s="12">
        <v>45536</v>
      </c>
      <c r="C27" s="13">
        <v>393840726</v>
      </c>
      <c r="D27" s="13">
        <v>354765498</v>
      </c>
      <c r="E27" s="13">
        <v>39075229</v>
      </c>
      <c r="F27" s="14">
        <f t="shared" si="0"/>
        <v>0.90078418654956471</v>
      </c>
      <c r="G27" s="16" t="s">
        <v>56</v>
      </c>
      <c r="H27" s="14">
        <v>0.40389999999999998</v>
      </c>
      <c r="I27" s="14">
        <v>0.34749999999999998</v>
      </c>
      <c r="J27" s="14">
        <v>0.24859999999999999</v>
      </c>
    </row>
    <row r="28" spans="1:10" ht="15" customHeight="1" x14ac:dyDescent="0.35">
      <c r="A28" s="11">
        <v>16</v>
      </c>
      <c r="B28" s="12">
        <v>45566</v>
      </c>
      <c r="C28" s="13">
        <v>370353058</v>
      </c>
      <c r="D28" s="13">
        <v>362150183</v>
      </c>
      <c r="E28" s="13">
        <v>8202876</v>
      </c>
      <c r="F28" s="14">
        <f t="shared" si="0"/>
        <v>0.97785120218988442</v>
      </c>
      <c r="G28" s="16"/>
      <c r="H28" s="14">
        <v>0.4289</v>
      </c>
      <c r="I28" s="14">
        <v>0.307</v>
      </c>
      <c r="J28" s="14">
        <v>0.2641</v>
      </c>
    </row>
    <row r="29" spans="1:10" ht="15" customHeight="1" x14ac:dyDescent="0.35">
      <c r="A29" s="11">
        <v>17</v>
      </c>
      <c r="B29" s="12">
        <v>45597</v>
      </c>
      <c r="C29" s="13">
        <v>263332231</v>
      </c>
      <c r="D29" s="13">
        <v>252221616</v>
      </c>
      <c r="E29" s="13">
        <v>11110615</v>
      </c>
      <c r="F29" s="14">
        <f t="shared" si="0"/>
        <v>0.95780761451871044</v>
      </c>
      <c r="G29" s="16"/>
      <c r="H29" s="14">
        <v>0.41389999999999999</v>
      </c>
      <c r="I29" s="14">
        <v>0.38090000000000002</v>
      </c>
      <c r="J29" s="14">
        <v>0.20519999999999999</v>
      </c>
    </row>
    <row r="30" spans="1:10" ht="15" customHeight="1" x14ac:dyDescent="0.35">
      <c r="A30" s="11">
        <v>18</v>
      </c>
      <c r="B30" s="12">
        <v>45627</v>
      </c>
      <c r="C30" s="13">
        <v>207179820</v>
      </c>
      <c r="D30" s="13">
        <v>178229157</v>
      </c>
      <c r="E30" s="13">
        <v>28950663</v>
      </c>
      <c r="F30" s="14">
        <f t="shared" si="0"/>
        <v>0.86026311346346374</v>
      </c>
      <c r="G30" s="16" t="s">
        <v>56</v>
      </c>
      <c r="H30" s="14">
        <v>0.3947</v>
      </c>
      <c r="I30" s="14">
        <v>0.3881</v>
      </c>
      <c r="J30" s="14">
        <v>0.2172</v>
      </c>
    </row>
    <row r="31" spans="1:10" ht="15" customHeight="1" x14ac:dyDescent="0.35">
      <c r="A31" s="11">
        <v>19</v>
      </c>
      <c r="B31" s="12">
        <v>45658</v>
      </c>
      <c r="C31" s="13">
        <v>149742592</v>
      </c>
      <c r="D31" s="13">
        <v>132775498</v>
      </c>
      <c r="E31" s="13">
        <v>16967095</v>
      </c>
      <c r="F31" s="14">
        <f t="shared" si="0"/>
        <v>0.88669159673688569</v>
      </c>
      <c r="G31" s="16" t="s">
        <v>58</v>
      </c>
      <c r="H31" s="14">
        <v>0.36509999999999998</v>
      </c>
      <c r="I31" s="14">
        <v>0.26479999999999998</v>
      </c>
      <c r="J31" s="14">
        <v>0.37009999999999998</v>
      </c>
    </row>
    <row r="32" spans="1:10" ht="15" customHeight="1" x14ac:dyDescent="0.35">
      <c r="A32" s="11">
        <v>20</v>
      </c>
      <c r="B32" s="12">
        <v>45689</v>
      </c>
      <c r="C32" s="13">
        <v>113374783</v>
      </c>
      <c r="D32" s="13">
        <v>104094468</v>
      </c>
      <c r="E32" s="13">
        <v>9280315</v>
      </c>
      <c r="F32" s="14">
        <f t="shared" si="0"/>
        <v>0.91814480474022164</v>
      </c>
      <c r="G32" s="16" t="s">
        <v>58</v>
      </c>
      <c r="H32" s="14">
        <v>0.36659999999999998</v>
      </c>
      <c r="I32" s="14">
        <v>0.35410000000000003</v>
      </c>
      <c r="J32" s="14">
        <v>0.27929999999999999</v>
      </c>
    </row>
    <row r="33" spans="1:10" ht="15" customHeight="1" x14ac:dyDescent="0.35">
      <c r="A33" s="11">
        <v>21</v>
      </c>
      <c r="B33" s="12">
        <v>45717</v>
      </c>
      <c r="C33" s="13">
        <v>140342406</v>
      </c>
      <c r="D33" s="13">
        <v>99853305</v>
      </c>
      <c r="E33" s="13">
        <v>40489101</v>
      </c>
      <c r="F33" s="14">
        <f t="shared" si="0"/>
        <v>0.71149774217209871</v>
      </c>
      <c r="G33" s="16" t="s">
        <v>58</v>
      </c>
      <c r="H33" s="14">
        <v>0.4194</v>
      </c>
      <c r="I33" s="14">
        <v>0.29399999999999998</v>
      </c>
      <c r="J33" s="14">
        <v>0.28660000000000002</v>
      </c>
    </row>
    <row r="34" spans="1:10" ht="15" customHeight="1" x14ac:dyDescent="0.35">
      <c r="A34" s="11">
        <v>22</v>
      </c>
      <c r="B34" s="12">
        <v>45748</v>
      </c>
      <c r="C34" s="13">
        <v>87484109</v>
      </c>
      <c r="D34" s="13">
        <v>64422637</v>
      </c>
      <c r="E34" s="13">
        <v>23061472</v>
      </c>
      <c r="F34" s="14">
        <f t="shared" si="0"/>
        <v>0.73639244585550956</v>
      </c>
      <c r="G34" s="16" t="s">
        <v>58</v>
      </c>
      <c r="H34" s="14">
        <v>0.37969999999999998</v>
      </c>
      <c r="I34" s="14">
        <v>0.33489999999999998</v>
      </c>
      <c r="J34" s="14">
        <v>0.28539999999999999</v>
      </c>
    </row>
    <row r="35" spans="1:10" ht="15" customHeight="1" x14ac:dyDescent="0.35">
      <c r="A35" s="11">
        <v>23</v>
      </c>
      <c r="B35" s="12">
        <v>45778</v>
      </c>
      <c r="C35" s="13">
        <v>129251947</v>
      </c>
      <c r="D35" s="13">
        <v>95969043</v>
      </c>
      <c r="E35" s="13">
        <v>33282905</v>
      </c>
      <c r="F35" s="14">
        <f t="shared" si="0"/>
        <v>0.7424959176823851</v>
      </c>
      <c r="G35" s="16" t="s">
        <v>58</v>
      </c>
      <c r="H35" s="14">
        <v>0.31180000000000002</v>
      </c>
      <c r="I35" s="14">
        <v>0.38059999999999999</v>
      </c>
      <c r="J35" s="14">
        <v>0.3075</v>
      </c>
    </row>
    <row r="36" spans="1:10" ht="15" customHeight="1" x14ac:dyDescent="0.35">
      <c r="A36" s="11">
        <v>24</v>
      </c>
      <c r="B36" s="12">
        <v>45809</v>
      </c>
      <c r="C36" s="13">
        <v>111971037</v>
      </c>
      <c r="D36" s="13">
        <v>85121216</v>
      </c>
      <c r="E36" s="13">
        <v>26849821</v>
      </c>
      <c r="F36" s="14">
        <f t="shared" si="0"/>
        <v>0.76020744543073226</v>
      </c>
      <c r="G36" s="16" t="s">
        <v>58</v>
      </c>
      <c r="H36" s="14">
        <v>0.43690000000000001</v>
      </c>
      <c r="I36" s="14">
        <v>0.27150000000000002</v>
      </c>
      <c r="J36" s="14">
        <v>0.29160000000000003</v>
      </c>
    </row>
  </sheetData>
  <mergeCells count="8">
    <mergeCell ref="I6:I10"/>
    <mergeCell ref="J6:J10"/>
    <mergeCell ref="C6:C10"/>
    <mergeCell ref="D6:D10"/>
    <mergeCell ref="E6:E10"/>
    <mergeCell ref="F6:F10"/>
    <mergeCell ref="G6:G10"/>
    <mergeCell ref="H6:H10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2:J32"/>
  <sheetViews>
    <sheetView zoomScaleNormal="100" workbookViewId="0">
      <selection activeCell="J23" sqref="J23"/>
    </sheetView>
  </sheetViews>
  <sheetFormatPr defaultColWidth="8.6328125" defaultRowHeight="14.5" x14ac:dyDescent="0.35"/>
  <cols>
    <col min="1" max="3" width="12" customWidth="1"/>
    <col min="4" max="4" width="13.81640625" bestFit="1" customWidth="1"/>
    <col min="5" max="5" width="16.36328125" bestFit="1" customWidth="1"/>
    <col min="6" max="6" width="12" customWidth="1"/>
    <col min="7" max="7" width="13.1796875" bestFit="1" customWidth="1"/>
    <col min="8" max="10" width="12" customWidth="1"/>
  </cols>
  <sheetData>
    <row r="2" spans="1:10" s="78" customFormat="1" x14ac:dyDescent="0.35">
      <c r="C2" s="88" t="s">
        <v>378</v>
      </c>
      <c r="D2" s="88" t="s">
        <v>379</v>
      </c>
      <c r="E2" s="88" t="s">
        <v>380</v>
      </c>
      <c r="F2" s="88" t="s">
        <v>381</v>
      </c>
      <c r="G2" s="88" t="s">
        <v>382</v>
      </c>
      <c r="H2" s="88" t="s">
        <v>383</v>
      </c>
      <c r="I2" s="88" t="s">
        <v>384</v>
      </c>
      <c r="J2" s="88" t="s">
        <v>385</v>
      </c>
    </row>
    <row r="3" spans="1:10" s="78" customFormat="1" x14ac:dyDescent="0.35">
      <c r="C3" s="88"/>
      <c r="D3" s="88"/>
      <c r="E3" s="88"/>
      <c r="F3" s="88"/>
      <c r="G3" s="88"/>
      <c r="H3" s="88"/>
      <c r="I3" s="88"/>
      <c r="J3" s="88"/>
    </row>
    <row r="4" spans="1:10" s="78" customFormat="1" x14ac:dyDescent="0.35">
      <c r="C4" s="88"/>
      <c r="D4" s="88"/>
      <c r="E4" s="88"/>
      <c r="F4" s="88"/>
      <c r="G4" s="88"/>
      <c r="H4" s="88"/>
      <c r="I4" s="88"/>
      <c r="J4" s="88"/>
    </row>
    <row r="5" spans="1:10" s="78" customFormat="1" x14ac:dyDescent="0.35">
      <c r="C5" s="88"/>
      <c r="D5" s="88"/>
      <c r="E5" s="88"/>
      <c r="F5" s="88"/>
      <c r="G5" s="88"/>
      <c r="H5" s="88"/>
      <c r="I5" s="88"/>
      <c r="J5" s="88"/>
    </row>
    <row r="6" spans="1:10" s="78" customFormat="1" x14ac:dyDescent="0.35">
      <c r="C6" s="88"/>
      <c r="D6" s="88"/>
      <c r="E6" s="88"/>
      <c r="F6" s="88"/>
      <c r="G6" s="88"/>
      <c r="H6" s="88"/>
      <c r="I6" s="88"/>
      <c r="J6" s="88"/>
    </row>
    <row r="7" spans="1:10" ht="15" x14ac:dyDescent="0.35">
      <c r="A7" s="45" t="s">
        <v>254</v>
      </c>
    </row>
    <row r="8" spans="1:10" ht="34.5" customHeight="1" x14ac:dyDescent="0.35">
      <c r="A8" s="5" t="s">
        <v>40</v>
      </c>
      <c r="B8" s="5" t="s">
        <v>41</v>
      </c>
      <c r="C8" s="5" t="s">
        <v>59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</row>
    <row r="9" spans="1:10" ht="15" customHeight="1" x14ac:dyDescent="0.35">
      <c r="A9" s="11">
        <v>1</v>
      </c>
      <c r="B9" s="12">
        <v>45108</v>
      </c>
      <c r="C9" s="13">
        <v>536</v>
      </c>
      <c r="D9" s="13">
        <v>1087691947</v>
      </c>
      <c r="E9" s="13">
        <v>5297852496</v>
      </c>
      <c r="F9" s="13">
        <v>4731</v>
      </c>
      <c r="G9" s="13">
        <v>2663862110</v>
      </c>
      <c r="H9" s="13">
        <v>19</v>
      </c>
      <c r="I9" s="13">
        <v>35747575</v>
      </c>
      <c r="J9" s="13">
        <v>35747575</v>
      </c>
    </row>
    <row r="10" spans="1:10" ht="15" customHeight="1" x14ac:dyDescent="0.35">
      <c r="A10" s="11">
        <v>2</v>
      </c>
      <c r="B10" s="12">
        <v>45139</v>
      </c>
      <c r="C10" s="13">
        <v>579</v>
      </c>
      <c r="D10" s="13">
        <v>813708251</v>
      </c>
      <c r="E10" s="13">
        <v>5208648918</v>
      </c>
      <c r="F10" s="13">
        <v>3415</v>
      </c>
      <c r="G10" s="13">
        <v>4147623739</v>
      </c>
      <c r="H10" s="13">
        <v>14</v>
      </c>
      <c r="I10" s="13">
        <v>21934170</v>
      </c>
      <c r="J10" s="13">
        <v>57681745</v>
      </c>
    </row>
    <row r="11" spans="1:10" ht="15" customHeight="1" x14ac:dyDescent="0.35">
      <c r="A11" s="11">
        <v>3</v>
      </c>
      <c r="B11" s="12">
        <v>45170</v>
      </c>
      <c r="C11" s="13">
        <v>517</v>
      </c>
      <c r="D11" s="13">
        <v>1084359712</v>
      </c>
      <c r="E11" s="13">
        <v>5284179063</v>
      </c>
      <c r="F11" s="13">
        <v>3237</v>
      </c>
      <c r="G11" s="13">
        <v>2957899020</v>
      </c>
      <c r="H11" s="13">
        <v>17</v>
      </c>
      <c r="I11" s="13">
        <v>31008043</v>
      </c>
      <c r="J11" s="13">
        <v>88689788</v>
      </c>
    </row>
    <row r="12" spans="1:10" ht="15" customHeight="1" x14ac:dyDescent="0.35">
      <c r="A12" s="11">
        <v>4</v>
      </c>
      <c r="B12" s="12">
        <v>45200</v>
      </c>
      <c r="C12" s="13">
        <v>354</v>
      </c>
      <c r="D12" s="13">
        <v>533962064</v>
      </c>
      <c r="E12" s="13">
        <v>5859613462</v>
      </c>
      <c r="F12" s="13">
        <v>4354</v>
      </c>
      <c r="G12" s="13">
        <v>3449916083</v>
      </c>
      <c r="H12" s="13">
        <v>14</v>
      </c>
      <c r="I12" s="13">
        <v>11568585</v>
      </c>
      <c r="J12" s="13">
        <v>100258374</v>
      </c>
    </row>
    <row r="13" spans="1:10" ht="15" customHeight="1" x14ac:dyDescent="0.35">
      <c r="A13" s="11">
        <v>5</v>
      </c>
      <c r="B13" s="12">
        <v>45231</v>
      </c>
      <c r="C13" s="13">
        <v>502</v>
      </c>
      <c r="D13" s="13">
        <v>781525896</v>
      </c>
      <c r="E13" s="13">
        <v>5829645085</v>
      </c>
      <c r="F13" s="13">
        <v>4809</v>
      </c>
      <c r="G13" s="13">
        <v>4276006688</v>
      </c>
      <c r="H13" s="13">
        <v>6</v>
      </c>
      <c r="I13" s="13">
        <v>11356442</v>
      </c>
      <c r="J13" s="13">
        <v>111614816</v>
      </c>
    </row>
    <row r="14" spans="1:10" ht="15" customHeight="1" x14ac:dyDescent="0.35">
      <c r="A14" s="11">
        <v>6</v>
      </c>
      <c r="B14" s="12">
        <v>45261</v>
      </c>
      <c r="C14" s="13">
        <v>554</v>
      </c>
      <c r="D14" s="13">
        <v>1264610576</v>
      </c>
      <c r="E14" s="13">
        <v>7514674592</v>
      </c>
      <c r="F14" s="13">
        <v>2942</v>
      </c>
      <c r="G14" s="13">
        <v>5125906071</v>
      </c>
      <c r="H14" s="13">
        <v>16</v>
      </c>
      <c r="I14" s="13">
        <v>17004887</v>
      </c>
      <c r="J14" s="13">
        <v>128619703</v>
      </c>
    </row>
    <row r="15" spans="1:10" ht="15" customHeight="1" x14ac:dyDescent="0.35">
      <c r="A15" s="11">
        <v>7</v>
      </c>
      <c r="B15" s="12">
        <v>45292</v>
      </c>
      <c r="C15" s="13">
        <v>397</v>
      </c>
      <c r="D15" s="13">
        <v>796841929</v>
      </c>
      <c r="E15" s="13">
        <v>6388822293</v>
      </c>
      <c r="F15" s="13">
        <v>4952</v>
      </c>
      <c r="G15" s="13">
        <v>4665381465</v>
      </c>
      <c r="H15" s="13">
        <v>9</v>
      </c>
      <c r="I15" s="13">
        <v>13985080</v>
      </c>
      <c r="J15" s="13">
        <v>142604782</v>
      </c>
    </row>
    <row r="16" spans="1:10" ht="15" customHeight="1" x14ac:dyDescent="0.35">
      <c r="A16" s="11">
        <v>8</v>
      </c>
      <c r="B16" s="12">
        <v>45323</v>
      </c>
      <c r="C16" s="13">
        <v>320</v>
      </c>
      <c r="D16" s="13">
        <v>512516080</v>
      </c>
      <c r="E16" s="13">
        <v>5204115951</v>
      </c>
      <c r="F16" s="13">
        <v>4373</v>
      </c>
      <c r="G16" s="13">
        <v>3171692024</v>
      </c>
      <c r="H16" s="13">
        <v>9</v>
      </c>
      <c r="I16" s="13">
        <v>8173440</v>
      </c>
      <c r="J16" s="13">
        <v>150778223</v>
      </c>
    </row>
    <row r="17" spans="1:10" ht="15" customHeight="1" x14ac:dyDescent="0.35">
      <c r="A17" s="11">
        <v>9</v>
      </c>
      <c r="B17" s="12">
        <v>45352</v>
      </c>
      <c r="C17" s="13">
        <v>451</v>
      </c>
      <c r="D17" s="13">
        <v>732755423</v>
      </c>
      <c r="E17" s="13">
        <v>5077515467</v>
      </c>
      <c r="F17" s="13">
        <v>2822</v>
      </c>
      <c r="G17" s="13">
        <v>2740070759</v>
      </c>
      <c r="H17" s="13">
        <v>22</v>
      </c>
      <c r="I17" s="13">
        <v>40738560</v>
      </c>
      <c r="J17" s="13">
        <v>191516783</v>
      </c>
    </row>
    <row r="18" spans="1:10" ht="15" customHeight="1" x14ac:dyDescent="0.35">
      <c r="A18" s="11">
        <v>10</v>
      </c>
      <c r="B18" s="12">
        <v>45383</v>
      </c>
      <c r="C18" s="13">
        <v>487</v>
      </c>
      <c r="D18" s="13">
        <v>920482638</v>
      </c>
      <c r="E18" s="13">
        <v>7567434872</v>
      </c>
      <c r="F18" s="13">
        <v>2673</v>
      </c>
      <c r="G18" s="13">
        <v>4367098750</v>
      </c>
      <c r="H18" s="13">
        <v>20</v>
      </c>
      <c r="I18" s="13">
        <v>39217218</v>
      </c>
      <c r="J18" s="13">
        <v>230734000</v>
      </c>
    </row>
    <row r="19" spans="1:10" ht="15" customHeight="1" x14ac:dyDescent="0.35">
      <c r="A19" s="11">
        <v>11</v>
      </c>
      <c r="B19" s="12">
        <v>45413</v>
      </c>
      <c r="C19" s="13">
        <v>451</v>
      </c>
      <c r="D19" s="13">
        <v>978907747</v>
      </c>
      <c r="E19" s="13">
        <v>4693576269</v>
      </c>
      <c r="F19" s="13">
        <v>2471</v>
      </c>
      <c r="G19" s="13">
        <v>3006232862</v>
      </c>
      <c r="H19" s="13">
        <v>7</v>
      </c>
      <c r="I19" s="13">
        <v>6782359</v>
      </c>
      <c r="J19" s="13">
        <v>237516359</v>
      </c>
    </row>
    <row r="20" spans="1:10" ht="15" customHeight="1" x14ac:dyDescent="0.35">
      <c r="A20" s="11">
        <v>12</v>
      </c>
      <c r="B20" s="12">
        <v>45444</v>
      </c>
      <c r="C20" s="13">
        <v>415</v>
      </c>
      <c r="D20" s="13">
        <v>962045852</v>
      </c>
      <c r="E20" s="13">
        <v>6621083560</v>
      </c>
      <c r="F20" s="13">
        <v>3627</v>
      </c>
      <c r="G20" s="13">
        <v>5231853927</v>
      </c>
      <c r="H20" s="13">
        <v>22</v>
      </c>
      <c r="I20" s="13">
        <v>27256461</v>
      </c>
      <c r="J20" s="13">
        <v>264772821</v>
      </c>
    </row>
    <row r="21" spans="1:10" ht="15" customHeight="1" x14ac:dyDescent="0.35">
      <c r="A21" s="11">
        <v>13</v>
      </c>
      <c r="B21" s="12">
        <v>45474</v>
      </c>
      <c r="C21" s="13">
        <v>502</v>
      </c>
      <c r="D21" s="13">
        <v>611483314</v>
      </c>
      <c r="E21" s="13">
        <v>5682861541</v>
      </c>
      <c r="F21" s="13">
        <v>3862</v>
      </c>
      <c r="G21" s="13">
        <v>3469817150</v>
      </c>
      <c r="H21" s="13">
        <v>13</v>
      </c>
      <c r="I21" s="13">
        <v>19519137</v>
      </c>
      <c r="J21" s="13">
        <v>284291958</v>
      </c>
    </row>
    <row r="22" spans="1:10" ht="15" customHeight="1" x14ac:dyDescent="0.35">
      <c r="A22" s="11">
        <v>14</v>
      </c>
      <c r="B22" s="12">
        <v>45505</v>
      </c>
      <c r="C22" s="13">
        <v>490</v>
      </c>
      <c r="D22" s="13">
        <v>657016467</v>
      </c>
      <c r="E22" s="13">
        <v>4169109511</v>
      </c>
      <c r="F22" s="13">
        <v>2102</v>
      </c>
      <c r="G22" s="13">
        <v>2859442376</v>
      </c>
      <c r="H22" s="13">
        <v>22</v>
      </c>
      <c r="I22" s="13">
        <v>26259366</v>
      </c>
      <c r="J22" s="13">
        <v>310551324</v>
      </c>
    </row>
    <row r="23" spans="1:10" ht="15" customHeight="1" x14ac:dyDescent="0.35">
      <c r="A23" s="11">
        <v>15</v>
      </c>
      <c r="B23" s="12">
        <v>45536</v>
      </c>
      <c r="C23" s="13">
        <v>413</v>
      </c>
      <c r="D23" s="13">
        <v>843324563</v>
      </c>
      <c r="E23" s="13">
        <v>6177019612</v>
      </c>
      <c r="F23" s="13">
        <v>3901</v>
      </c>
      <c r="G23" s="13">
        <v>4773701389</v>
      </c>
      <c r="H23" s="13">
        <v>14</v>
      </c>
      <c r="I23" s="13">
        <v>22107223</v>
      </c>
      <c r="J23" s="13">
        <v>332658547</v>
      </c>
    </row>
    <row r="24" spans="1:10" ht="15" customHeight="1" x14ac:dyDescent="0.35">
      <c r="A24" s="11">
        <v>16</v>
      </c>
      <c r="B24" s="12">
        <v>45566</v>
      </c>
      <c r="C24" s="13">
        <v>359</v>
      </c>
      <c r="D24" s="13">
        <v>496033932</v>
      </c>
      <c r="E24" s="13">
        <v>7731307664</v>
      </c>
      <c r="F24" s="13">
        <v>3246</v>
      </c>
      <c r="G24" s="13">
        <v>6175600116</v>
      </c>
      <c r="H24" s="13">
        <v>8</v>
      </c>
      <c r="I24" s="13">
        <v>7333043</v>
      </c>
      <c r="J24" s="13">
        <v>339991590</v>
      </c>
    </row>
    <row r="25" spans="1:10" ht="15" customHeight="1" x14ac:dyDescent="0.35">
      <c r="A25" s="11">
        <v>17</v>
      </c>
      <c r="B25" s="12">
        <v>45597</v>
      </c>
      <c r="C25" s="13">
        <v>575</v>
      </c>
      <c r="D25" s="13">
        <v>791408876</v>
      </c>
      <c r="E25" s="13">
        <v>5268218784</v>
      </c>
      <c r="F25" s="13">
        <v>4746</v>
      </c>
      <c r="G25" s="13">
        <v>4134573072</v>
      </c>
      <c r="H25" s="13">
        <v>22</v>
      </c>
      <c r="I25" s="13">
        <v>28664946</v>
      </c>
      <c r="J25" s="13">
        <v>368656536</v>
      </c>
    </row>
    <row r="26" spans="1:10" ht="15" customHeight="1" x14ac:dyDescent="0.35">
      <c r="A26" s="11">
        <v>18</v>
      </c>
      <c r="B26" s="12">
        <v>45627</v>
      </c>
      <c r="C26" s="13">
        <v>379</v>
      </c>
      <c r="D26" s="13">
        <v>891043371</v>
      </c>
      <c r="E26" s="13">
        <v>6274609487</v>
      </c>
      <c r="F26" s="13">
        <v>4004</v>
      </c>
      <c r="G26" s="13">
        <v>4296197911</v>
      </c>
      <c r="H26" s="13">
        <v>13</v>
      </c>
      <c r="I26" s="13">
        <v>10910374</v>
      </c>
      <c r="J26" s="13">
        <v>379566910</v>
      </c>
    </row>
    <row r="27" spans="1:10" ht="15" customHeight="1" x14ac:dyDescent="0.35">
      <c r="A27" s="11">
        <v>19</v>
      </c>
      <c r="B27" s="12">
        <v>45658</v>
      </c>
      <c r="C27" s="13">
        <v>489</v>
      </c>
      <c r="D27" s="13">
        <v>724918339</v>
      </c>
      <c r="E27" s="13">
        <v>5223479299</v>
      </c>
      <c r="F27" s="13">
        <v>2967</v>
      </c>
      <c r="G27" s="13">
        <v>3952267562</v>
      </c>
      <c r="H27" s="13">
        <v>8</v>
      </c>
      <c r="I27" s="13">
        <v>15816906</v>
      </c>
      <c r="J27" s="13">
        <v>395383816</v>
      </c>
    </row>
    <row r="28" spans="1:10" ht="15" customHeight="1" x14ac:dyDescent="0.35">
      <c r="A28" s="11">
        <v>20</v>
      </c>
      <c r="B28" s="12">
        <v>45689</v>
      </c>
      <c r="C28" s="13">
        <v>488</v>
      </c>
      <c r="D28" s="13">
        <v>931009143</v>
      </c>
      <c r="E28" s="13">
        <v>7889212647</v>
      </c>
      <c r="F28" s="13">
        <v>3469</v>
      </c>
      <c r="G28" s="13">
        <v>4087914082</v>
      </c>
      <c r="H28" s="13">
        <v>13</v>
      </c>
      <c r="I28" s="13">
        <v>13361014</v>
      </c>
      <c r="J28" s="13">
        <v>408744830</v>
      </c>
    </row>
    <row r="29" spans="1:10" ht="15" customHeight="1" x14ac:dyDescent="0.35">
      <c r="A29" s="11">
        <v>21</v>
      </c>
      <c r="B29" s="12">
        <v>45717</v>
      </c>
      <c r="C29" s="13">
        <v>362</v>
      </c>
      <c r="D29" s="13">
        <v>881004477</v>
      </c>
      <c r="E29" s="13">
        <v>7120955410</v>
      </c>
      <c r="F29" s="13">
        <v>2375</v>
      </c>
      <c r="G29" s="13">
        <v>4976341694</v>
      </c>
      <c r="H29" s="13">
        <v>25</v>
      </c>
      <c r="I29" s="13">
        <v>39184788</v>
      </c>
      <c r="J29" s="13">
        <v>447929617</v>
      </c>
    </row>
    <row r="30" spans="1:10" ht="15" customHeight="1" x14ac:dyDescent="0.35">
      <c r="A30" s="11">
        <v>22</v>
      </c>
      <c r="B30" s="12">
        <v>45748</v>
      </c>
      <c r="C30" s="13">
        <v>310</v>
      </c>
      <c r="D30" s="13">
        <v>392383140</v>
      </c>
      <c r="E30" s="13">
        <v>4667545782</v>
      </c>
      <c r="F30" s="13">
        <v>2515</v>
      </c>
      <c r="G30" s="13">
        <v>3435749784</v>
      </c>
      <c r="H30" s="13">
        <v>11</v>
      </c>
      <c r="I30" s="13">
        <v>9705654</v>
      </c>
      <c r="J30" s="13">
        <v>457635271</v>
      </c>
    </row>
    <row r="31" spans="1:10" ht="15" customHeight="1" x14ac:dyDescent="0.35">
      <c r="A31" s="11">
        <v>23</v>
      </c>
      <c r="B31" s="12">
        <v>45778</v>
      </c>
      <c r="C31" s="13">
        <v>583</v>
      </c>
      <c r="D31" s="13">
        <v>856604571</v>
      </c>
      <c r="E31" s="13">
        <v>4079756760</v>
      </c>
      <c r="F31" s="13">
        <v>2954</v>
      </c>
      <c r="G31" s="13">
        <v>2442011298</v>
      </c>
      <c r="H31" s="13">
        <v>9</v>
      </c>
      <c r="I31" s="13">
        <v>15717353</v>
      </c>
      <c r="J31" s="13">
        <v>473352624</v>
      </c>
    </row>
    <row r="32" spans="1:10" ht="15" customHeight="1" x14ac:dyDescent="0.35">
      <c r="A32" s="11">
        <v>24</v>
      </c>
      <c r="B32" s="12">
        <v>45809</v>
      </c>
      <c r="C32" s="13">
        <v>301</v>
      </c>
      <c r="D32" s="13">
        <v>469697647</v>
      </c>
      <c r="E32" s="13">
        <v>7920140659</v>
      </c>
      <c r="F32" s="13">
        <v>2532</v>
      </c>
      <c r="G32" s="13">
        <v>5243645051</v>
      </c>
      <c r="H32" s="13">
        <v>10</v>
      </c>
      <c r="I32" s="13">
        <v>9319116</v>
      </c>
      <c r="J32" s="13">
        <v>482671740</v>
      </c>
    </row>
  </sheetData>
  <mergeCells count="8">
    <mergeCell ref="I2:I6"/>
    <mergeCell ref="J2:J6"/>
    <mergeCell ref="C2:C6"/>
    <mergeCell ref="D2:D6"/>
    <mergeCell ref="E2:E6"/>
    <mergeCell ref="F2:F6"/>
    <mergeCell ref="G2:G6"/>
    <mergeCell ref="H2:H6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30"/>
  <sheetViews>
    <sheetView topLeftCell="A12" zoomScaleNormal="100" workbookViewId="0">
      <selection activeCell="D20" sqref="D20"/>
    </sheetView>
  </sheetViews>
  <sheetFormatPr defaultColWidth="8.6328125" defaultRowHeight="14.5" x14ac:dyDescent="0.35"/>
  <cols>
    <col min="1" max="9" width="30" customWidth="1"/>
    <col min="10" max="26" width="10" customWidth="1"/>
  </cols>
  <sheetData>
    <row r="1" spans="1:14" ht="23.25" customHeight="1" x14ac:dyDescent="0.4">
      <c r="A1" s="108" t="s">
        <v>67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4" ht="15" customHeight="1" x14ac:dyDescent="0.35">
      <c r="A2" s="109" t="s">
        <v>261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</row>
    <row r="3" spans="1:14" ht="15" customHeight="1" x14ac:dyDescent="0.35">
      <c r="A3" s="17"/>
      <c r="B3" s="18"/>
      <c r="C3" s="19"/>
      <c r="D3" s="19"/>
      <c r="E3" s="19"/>
      <c r="F3" s="19"/>
      <c r="G3" s="17"/>
      <c r="H3" s="19"/>
      <c r="I3" s="17"/>
    </row>
    <row r="4" spans="1:14" s="74" customFormat="1" ht="15" customHeight="1" x14ac:dyDescent="0.35">
      <c r="A4" s="79"/>
      <c r="B4" s="110" t="s">
        <v>386</v>
      </c>
      <c r="C4" s="110" t="s">
        <v>387</v>
      </c>
      <c r="D4" s="110" t="s">
        <v>388</v>
      </c>
      <c r="E4" s="110" t="s">
        <v>389</v>
      </c>
      <c r="F4" s="110" t="s">
        <v>390</v>
      </c>
      <c r="G4" s="79"/>
      <c r="H4" s="80"/>
      <c r="I4" s="79"/>
    </row>
    <row r="5" spans="1:14" s="74" customFormat="1" ht="15" customHeight="1" x14ac:dyDescent="0.35">
      <c r="A5" s="79"/>
      <c r="B5" s="110"/>
      <c r="C5" s="110"/>
      <c r="D5" s="110"/>
      <c r="E5" s="110"/>
      <c r="F5" s="110"/>
      <c r="G5" s="79"/>
      <c r="H5" s="80"/>
      <c r="I5" s="79"/>
    </row>
    <row r="6" spans="1:14" s="74" customFormat="1" ht="15" customHeight="1" x14ac:dyDescent="0.35">
      <c r="A6" s="79"/>
      <c r="B6" s="110"/>
      <c r="C6" s="110"/>
      <c r="D6" s="110"/>
      <c r="E6" s="110"/>
      <c r="F6" s="110"/>
      <c r="G6" s="79"/>
      <c r="H6" s="80"/>
      <c r="I6" s="79"/>
    </row>
    <row r="7" spans="1:14" s="74" customFormat="1" ht="15" customHeight="1" x14ac:dyDescent="0.35">
      <c r="A7" s="79"/>
      <c r="B7" s="110"/>
      <c r="C7" s="110"/>
      <c r="D7" s="110"/>
      <c r="E7" s="110"/>
      <c r="F7" s="110"/>
      <c r="G7" s="79"/>
      <c r="H7" s="80"/>
      <c r="I7" s="79"/>
    </row>
    <row r="8" spans="1:14" ht="15" customHeight="1" x14ac:dyDescent="0.35">
      <c r="A8" s="20" t="s">
        <v>68</v>
      </c>
      <c r="B8" s="18"/>
      <c r="C8" s="19"/>
      <c r="D8" s="19"/>
      <c r="E8" s="19"/>
      <c r="F8" s="19"/>
      <c r="G8" s="17"/>
      <c r="H8" s="19"/>
      <c r="I8" s="17"/>
    </row>
    <row r="9" spans="1:14" ht="15" customHeight="1" x14ac:dyDescent="0.35">
      <c r="A9" s="21" t="s">
        <v>69</v>
      </c>
      <c r="B9" s="22" t="s">
        <v>70</v>
      </c>
      <c r="C9" s="23" t="s">
        <v>71</v>
      </c>
      <c r="D9" s="23" t="s">
        <v>72</v>
      </c>
      <c r="E9" s="23" t="s">
        <v>73</v>
      </c>
      <c r="F9" s="23" t="s">
        <v>74</v>
      </c>
      <c r="G9" s="17"/>
      <c r="H9" s="19"/>
      <c r="I9" s="17"/>
    </row>
    <row r="10" spans="1:14" ht="15" customHeight="1" x14ac:dyDescent="0.35">
      <c r="A10" s="24" t="s">
        <v>75</v>
      </c>
      <c r="B10" s="25" t="s">
        <v>76</v>
      </c>
      <c r="C10" s="26" t="s">
        <v>77</v>
      </c>
      <c r="D10" s="26" t="s">
        <v>78</v>
      </c>
      <c r="E10" s="26">
        <v>0.4</v>
      </c>
      <c r="F10" s="26" t="s">
        <v>79</v>
      </c>
      <c r="G10" s="17"/>
      <c r="H10" s="19"/>
      <c r="I10" s="17"/>
    </row>
    <row r="11" spans="1:14" ht="15" customHeight="1" x14ac:dyDescent="0.35">
      <c r="A11" s="24" t="s">
        <v>80</v>
      </c>
      <c r="B11" s="25" t="s">
        <v>81</v>
      </c>
      <c r="C11" s="26" t="s">
        <v>77</v>
      </c>
      <c r="D11" s="26" t="s">
        <v>78</v>
      </c>
      <c r="E11" s="26">
        <v>0.8</v>
      </c>
      <c r="F11" s="26" t="s">
        <v>79</v>
      </c>
      <c r="G11" s="17"/>
      <c r="H11" s="19"/>
      <c r="I11" s="17"/>
    </row>
    <row r="12" spans="1:14" ht="15" customHeight="1" x14ac:dyDescent="0.35">
      <c r="A12" s="24" t="s">
        <v>82</v>
      </c>
      <c r="B12" s="25" t="s">
        <v>83</v>
      </c>
      <c r="C12" s="26" t="s">
        <v>84</v>
      </c>
      <c r="D12" s="26" t="s">
        <v>85</v>
      </c>
      <c r="E12" s="26">
        <v>0.12</v>
      </c>
      <c r="F12" s="26" t="s">
        <v>86</v>
      </c>
      <c r="G12" s="17"/>
      <c r="H12" s="19"/>
      <c r="I12" s="17"/>
    </row>
    <row r="13" spans="1:14" ht="15" customHeight="1" x14ac:dyDescent="0.35">
      <c r="A13" s="24" t="s">
        <v>87</v>
      </c>
      <c r="B13" s="25" t="s">
        <v>88</v>
      </c>
      <c r="C13" s="26" t="s">
        <v>89</v>
      </c>
      <c r="D13" s="26" t="s">
        <v>78</v>
      </c>
      <c r="E13" s="26">
        <v>0.08</v>
      </c>
      <c r="F13" s="26" t="s">
        <v>86</v>
      </c>
      <c r="G13" s="17"/>
      <c r="H13" s="19"/>
      <c r="I13" s="17"/>
    </row>
    <row r="14" spans="1:14" ht="15" customHeight="1" x14ac:dyDescent="0.35">
      <c r="A14" s="24" t="s">
        <v>90</v>
      </c>
      <c r="B14" s="25" t="s">
        <v>91</v>
      </c>
      <c r="C14" s="26" t="s">
        <v>92</v>
      </c>
      <c r="D14" s="26" t="s">
        <v>78</v>
      </c>
      <c r="E14" s="27">
        <v>90</v>
      </c>
      <c r="F14" s="26" t="s">
        <v>86</v>
      </c>
      <c r="G14" s="17"/>
      <c r="H14" s="19"/>
      <c r="I14" s="17"/>
    </row>
    <row r="15" spans="1:14" ht="15" customHeight="1" x14ac:dyDescent="0.35">
      <c r="A15" s="24" t="s">
        <v>93</v>
      </c>
      <c r="B15" s="25" t="s">
        <v>94</v>
      </c>
      <c r="C15" s="26" t="s">
        <v>89</v>
      </c>
      <c r="D15" s="26" t="s">
        <v>85</v>
      </c>
      <c r="E15" s="26">
        <v>1.1000000000000001</v>
      </c>
      <c r="F15" s="26" t="s">
        <v>86</v>
      </c>
      <c r="G15" s="17"/>
      <c r="H15" s="19"/>
      <c r="I15" s="17"/>
    </row>
    <row r="16" spans="1:14" ht="15" customHeight="1" x14ac:dyDescent="0.35">
      <c r="A16" s="24" t="s">
        <v>95</v>
      </c>
      <c r="B16" s="25" t="s">
        <v>96</v>
      </c>
      <c r="C16" s="26" t="s">
        <v>89</v>
      </c>
      <c r="D16" s="26" t="s">
        <v>78</v>
      </c>
      <c r="E16" s="26">
        <v>0.1</v>
      </c>
      <c r="F16" s="26" t="s">
        <v>86</v>
      </c>
      <c r="G16" s="17"/>
      <c r="H16" s="19"/>
      <c r="I16" s="17"/>
    </row>
    <row r="17" spans="1:26" ht="15" customHeight="1" x14ac:dyDescent="0.35">
      <c r="A17" s="24" t="s">
        <v>97</v>
      </c>
      <c r="B17" s="25" t="s">
        <v>98</v>
      </c>
      <c r="C17" s="26" t="s">
        <v>89</v>
      </c>
      <c r="D17" s="26" t="s">
        <v>85</v>
      </c>
      <c r="E17" s="26">
        <v>0.02</v>
      </c>
      <c r="F17" s="26" t="s">
        <v>86</v>
      </c>
      <c r="G17" s="17"/>
      <c r="H17" s="19"/>
      <c r="I17" s="17"/>
    </row>
    <row r="18" spans="1:26" ht="15" customHeight="1" x14ac:dyDescent="0.35">
      <c r="A18" s="17"/>
      <c r="B18" s="18"/>
      <c r="C18" s="19"/>
      <c r="D18" s="19"/>
      <c r="E18" s="19"/>
      <c r="F18" s="19"/>
      <c r="G18" s="17"/>
      <c r="H18" s="19"/>
      <c r="I18" s="17"/>
    </row>
    <row r="19" spans="1:26" ht="15" customHeight="1" x14ac:dyDescent="0.35">
      <c r="A19" s="20" t="s">
        <v>99</v>
      </c>
      <c r="B19" s="18"/>
      <c r="C19" s="81" t="s">
        <v>391</v>
      </c>
      <c r="D19" s="19"/>
      <c r="E19" s="19"/>
      <c r="F19" s="19"/>
      <c r="G19" s="17"/>
      <c r="H19" s="19"/>
      <c r="I19" s="17"/>
    </row>
    <row r="20" spans="1:26" ht="15" customHeight="1" x14ac:dyDescent="0.35">
      <c r="A20" s="21" t="s">
        <v>100</v>
      </c>
      <c r="B20" s="22" t="s">
        <v>73</v>
      </c>
      <c r="C20" s="23" t="s">
        <v>101</v>
      </c>
      <c r="D20" s="23" t="s">
        <v>101</v>
      </c>
      <c r="E20" s="23" t="s">
        <v>102</v>
      </c>
      <c r="F20" s="23" t="s">
        <v>103</v>
      </c>
      <c r="G20" s="21" t="s">
        <v>104</v>
      </c>
      <c r="H20" s="23" t="s">
        <v>105</v>
      </c>
      <c r="I20" s="21" t="s">
        <v>106</v>
      </c>
      <c r="J20" s="21" t="s">
        <v>107</v>
      </c>
      <c r="K20" s="21" t="s">
        <v>108</v>
      </c>
      <c r="L20" s="21" t="s">
        <v>109</v>
      </c>
      <c r="M20" s="21" t="s">
        <v>110</v>
      </c>
      <c r="N20" s="21" t="s">
        <v>111</v>
      </c>
      <c r="O20" s="21" t="s">
        <v>112</v>
      </c>
      <c r="P20" s="21" t="s">
        <v>113</v>
      </c>
      <c r="Q20" s="21" t="s">
        <v>114</v>
      </c>
      <c r="R20" s="21" t="s">
        <v>115</v>
      </c>
      <c r="S20" s="21" t="s">
        <v>116</v>
      </c>
      <c r="T20" s="21" t="s">
        <v>117</v>
      </c>
      <c r="U20" s="21" t="s">
        <v>118</v>
      </c>
      <c r="V20" s="21" t="s">
        <v>119</v>
      </c>
      <c r="W20" s="21" t="s">
        <v>120</v>
      </c>
      <c r="X20" s="21" t="s">
        <v>121</v>
      </c>
      <c r="Y20" s="21" t="s">
        <v>122</v>
      </c>
      <c r="Z20" s="21" t="s">
        <v>123</v>
      </c>
    </row>
    <row r="21" spans="1:26" ht="15" customHeight="1" x14ac:dyDescent="0.35">
      <c r="A21" s="28" t="s">
        <v>76</v>
      </c>
      <c r="B21" s="26">
        <v>0.4</v>
      </c>
      <c r="C21" s="29">
        <v>0.3967</v>
      </c>
      <c r="D21" s="29">
        <v>0.32300000000000001</v>
      </c>
      <c r="E21" s="29">
        <v>0.35299999999999998</v>
      </c>
      <c r="F21" s="29">
        <v>0.3468</v>
      </c>
      <c r="G21" s="30">
        <v>0.40839999999999999</v>
      </c>
      <c r="H21" s="30">
        <v>0.4012</v>
      </c>
      <c r="I21" s="30">
        <v>0.42709999999999998</v>
      </c>
      <c r="J21" s="29">
        <v>0.33040000000000003</v>
      </c>
      <c r="K21" s="29">
        <v>0.37059999999999998</v>
      </c>
      <c r="L21" s="29">
        <v>0.3236</v>
      </c>
      <c r="M21" s="29">
        <v>0.34620000000000001</v>
      </c>
      <c r="N21" s="29">
        <v>0.38059999999999999</v>
      </c>
      <c r="O21" s="29">
        <v>0.32319999999999999</v>
      </c>
      <c r="P21" s="29">
        <v>0.34389999999999998</v>
      </c>
      <c r="Q21" s="29">
        <v>0.39800000000000002</v>
      </c>
      <c r="R21" s="29">
        <v>0.38540000000000002</v>
      </c>
      <c r="S21" s="29">
        <v>0.34649999999999997</v>
      </c>
      <c r="T21" s="29">
        <v>0.39069999999999999</v>
      </c>
      <c r="U21" s="30">
        <v>0.41710000000000003</v>
      </c>
      <c r="V21" s="29">
        <v>0.32079999999999997</v>
      </c>
      <c r="W21" s="30">
        <v>0.41670000000000001</v>
      </c>
      <c r="X21" s="30">
        <v>0.40379999999999999</v>
      </c>
      <c r="Y21" s="29">
        <v>0.36080000000000001</v>
      </c>
      <c r="Z21" s="29">
        <v>0.3387</v>
      </c>
    </row>
    <row r="22" spans="1:26" ht="15" customHeight="1" x14ac:dyDescent="0.35">
      <c r="A22" s="28" t="s">
        <v>81</v>
      </c>
      <c r="B22" s="26">
        <v>0.8</v>
      </c>
      <c r="C22" s="30">
        <v>0.81399999999999995</v>
      </c>
      <c r="D22" s="29">
        <v>0.72709999999999997</v>
      </c>
      <c r="E22" s="29">
        <v>0.69299999999999995</v>
      </c>
      <c r="F22" s="29">
        <v>0.69350000000000001</v>
      </c>
      <c r="G22" s="29">
        <v>0.79859999999999998</v>
      </c>
      <c r="H22" s="29">
        <v>0.76449999999999996</v>
      </c>
      <c r="I22" s="29">
        <v>0.79300000000000004</v>
      </c>
      <c r="J22" s="29">
        <v>0.78220000000000001</v>
      </c>
      <c r="K22" s="29">
        <v>0.75509999999999999</v>
      </c>
      <c r="L22" s="30">
        <v>0.81620000000000004</v>
      </c>
      <c r="M22" s="29">
        <v>0.73299999999999998</v>
      </c>
      <c r="N22" s="29">
        <v>0.75729999999999997</v>
      </c>
      <c r="O22" s="29">
        <v>0.79610000000000003</v>
      </c>
      <c r="P22" s="29">
        <v>0.76659999999999995</v>
      </c>
      <c r="Q22" s="30">
        <v>0.80059999999999998</v>
      </c>
      <c r="R22" s="29">
        <v>0.76080000000000003</v>
      </c>
      <c r="S22" s="29">
        <v>0.77859999999999996</v>
      </c>
      <c r="T22" s="29">
        <v>0.68640000000000001</v>
      </c>
      <c r="U22" s="29">
        <v>0.71189999999999998</v>
      </c>
      <c r="V22" s="29">
        <v>0.72050000000000003</v>
      </c>
      <c r="W22" s="29">
        <v>0.69120000000000004</v>
      </c>
      <c r="X22" s="29">
        <v>0.71260000000000001</v>
      </c>
      <c r="Y22" s="29">
        <v>0.69410000000000005</v>
      </c>
      <c r="Z22" s="29">
        <v>0.71889999999999998</v>
      </c>
    </row>
    <row r="23" spans="1:26" ht="15" customHeight="1" x14ac:dyDescent="0.35">
      <c r="A23" s="28" t="s">
        <v>83</v>
      </c>
      <c r="B23" s="26">
        <v>0.12</v>
      </c>
      <c r="C23" s="29">
        <v>0.12520000000000001</v>
      </c>
      <c r="D23" s="30">
        <v>0.1179</v>
      </c>
      <c r="E23" s="30">
        <v>0.11799999999999999</v>
      </c>
      <c r="F23" s="30">
        <v>0.1137</v>
      </c>
      <c r="G23" s="30">
        <v>0.1152</v>
      </c>
      <c r="H23" s="29">
        <v>0.1333</v>
      </c>
      <c r="I23" s="29">
        <v>0.1255</v>
      </c>
      <c r="J23" s="29">
        <v>0.1244</v>
      </c>
      <c r="K23" s="30">
        <v>0.11260000000000001</v>
      </c>
      <c r="L23" s="29">
        <v>0.12770000000000001</v>
      </c>
      <c r="M23" s="30">
        <v>0.1124</v>
      </c>
      <c r="N23" s="30">
        <v>0.1182</v>
      </c>
      <c r="O23" s="29">
        <v>0.13469999999999999</v>
      </c>
      <c r="P23" s="29">
        <v>0.12529999999999999</v>
      </c>
      <c r="Q23" s="29">
        <v>0.123</v>
      </c>
      <c r="R23" s="29">
        <v>0.1265</v>
      </c>
      <c r="S23" s="29">
        <v>0.1308</v>
      </c>
      <c r="T23" s="29">
        <v>0.129</v>
      </c>
      <c r="U23" s="30">
        <v>0.1142</v>
      </c>
      <c r="V23" s="30">
        <v>0.1089</v>
      </c>
      <c r="W23" s="30">
        <v>0.11650000000000001</v>
      </c>
      <c r="X23" s="30">
        <v>0.1152</v>
      </c>
      <c r="Y23" s="30">
        <v>0.1137</v>
      </c>
      <c r="Z23" s="29">
        <v>0.13350000000000001</v>
      </c>
    </row>
    <row r="24" spans="1:26" ht="15" customHeight="1" x14ac:dyDescent="0.35">
      <c r="A24" s="28" t="s">
        <v>88</v>
      </c>
      <c r="B24" s="26">
        <v>0.08</v>
      </c>
      <c r="C24" s="29">
        <v>5.1299999999999998E-2</v>
      </c>
      <c r="D24" s="29">
        <v>3.5900000000000001E-2</v>
      </c>
      <c r="E24" s="29">
        <v>4.7699999999999999E-2</v>
      </c>
      <c r="F24" s="29">
        <v>4.1399999999999999E-2</v>
      </c>
      <c r="G24" s="29">
        <v>5.8400000000000001E-2</v>
      </c>
      <c r="H24" s="29">
        <v>4.6300000000000001E-2</v>
      </c>
      <c r="I24" s="29">
        <v>4.19E-2</v>
      </c>
      <c r="J24" s="29">
        <v>4.2900000000000001E-2</v>
      </c>
      <c r="K24" s="29">
        <v>5.3800000000000001E-2</v>
      </c>
      <c r="L24" s="29">
        <v>4.6399999999999997E-2</v>
      </c>
      <c r="M24" s="29">
        <v>5.7500000000000002E-2</v>
      </c>
      <c r="N24" s="29">
        <v>6.8400000000000002E-2</v>
      </c>
      <c r="O24" s="29">
        <v>5.5E-2</v>
      </c>
      <c r="P24" s="29">
        <v>5.11E-2</v>
      </c>
      <c r="Q24" s="29">
        <v>7.5899999999999995E-2</v>
      </c>
      <c r="R24" s="29">
        <v>6.2799999999999995E-2</v>
      </c>
      <c r="S24" s="29">
        <v>5.1700000000000003E-2</v>
      </c>
      <c r="T24" s="29">
        <v>5.1900000000000002E-2</v>
      </c>
      <c r="U24" s="29">
        <v>5.5300000000000002E-2</v>
      </c>
      <c r="V24" s="29">
        <v>7.2300000000000003E-2</v>
      </c>
      <c r="W24" s="29">
        <v>7.8799999999999995E-2</v>
      </c>
      <c r="X24" s="29">
        <v>6.9199999999999998E-2</v>
      </c>
      <c r="Y24" s="29">
        <v>5.9900000000000002E-2</v>
      </c>
      <c r="Z24" s="29">
        <v>7.0900000000000005E-2</v>
      </c>
    </row>
    <row r="25" spans="1:26" ht="15" customHeight="1" x14ac:dyDescent="0.35">
      <c r="A25" s="28" t="s">
        <v>91</v>
      </c>
      <c r="B25" s="27">
        <v>90</v>
      </c>
      <c r="C25" s="31">
        <v>84</v>
      </c>
      <c r="D25" s="32">
        <v>92</v>
      </c>
      <c r="E25" s="31">
        <v>57</v>
      </c>
      <c r="F25" s="31">
        <v>26</v>
      </c>
      <c r="G25" s="31">
        <v>39</v>
      </c>
      <c r="H25" s="31">
        <v>59</v>
      </c>
      <c r="I25" s="31">
        <v>68</v>
      </c>
      <c r="J25" s="31">
        <v>39</v>
      </c>
      <c r="K25" s="31">
        <v>62</v>
      </c>
      <c r="L25" s="31">
        <v>80</v>
      </c>
      <c r="M25" s="31">
        <v>45</v>
      </c>
      <c r="N25" s="31">
        <v>83</v>
      </c>
      <c r="O25" s="31">
        <v>25</v>
      </c>
      <c r="P25" s="31">
        <v>58</v>
      </c>
      <c r="Q25" s="31">
        <v>89</v>
      </c>
      <c r="R25" s="31">
        <v>47</v>
      </c>
      <c r="S25" s="31">
        <v>89</v>
      </c>
      <c r="T25" s="31">
        <v>38</v>
      </c>
      <c r="U25" s="31">
        <v>63</v>
      </c>
      <c r="V25" s="31">
        <v>89</v>
      </c>
      <c r="W25" s="31">
        <v>50</v>
      </c>
      <c r="X25" s="31">
        <v>44</v>
      </c>
      <c r="Y25" s="31">
        <v>72</v>
      </c>
      <c r="Z25" s="31">
        <v>45</v>
      </c>
    </row>
    <row r="26" spans="1:26" ht="15" customHeight="1" x14ac:dyDescent="0.35">
      <c r="A26" s="28" t="s">
        <v>94</v>
      </c>
      <c r="B26" s="26">
        <v>1.1000000000000001</v>
      </c>
      <c r="C26" s="29">
        <v>1.1416999999999999</v>
      </c>
      <c r="D26" s="29">
        <v>1.1823999999999999</v>
      </c>
      <c r="E26" s="29">
        <v>1.1402000000000001</v>
      </c>
      <c r="F26" s="30">
        <v>1.0501</v>
      </c>
      <c r="G26" s="29">
        <v>1.1051</v>
      </c>
      <c r="H26" s="30">
        <v>1.0532999999999999</v>
      </c>
      <c r="I26" s="29">
        <v>1.2079</v>
      </c>
      <c r="J26" s="29">
        <v>1.1994</v>
      </c>
      <c r="K26" s="29">
        <v>1.1914</v>
      </c>
      <c r="L26" s="29">
        <v>1.1023000000000001</v>
      </c>
      <c r="M26" s="30">
        <v>1.0598000000000001</v>
      </c>
      <c r="N26" s="29">
        <v>1.1993</v>
      </c>
      <c r="O26" s="29">
        <v>1.2110000000000001</v>
      </c>
      <c r="P26" s="30">
        <v>1.0646</v>
      </c>
      <c r="Q26" s="29">
        <v>1.1326000000000001</v>
      </c>
      <c r="R26" s="30">
        <v>1.0618000000000001</v>
      </c>
      <c r="S26" s="29">
        <v>1.1793</v>
      </c>
      <c r="T26" s="29">
        <v>1.1801999999999999</v>
      </c>
      <c r="U26" s="30">
        <v>1.0718000000000001</v>
      </c>
      <c r="V26" s="29">
        <v>1.1308</v>
      </c>
      <c r="W26" s="29">
        <v>1.1435</v>
      </c>
      <c r="X26" s="30">
        <v>1.0951</v>
      </c>
      <c r="Y26" s="29">
        <v>1.1982999999999999</v>
      </c>
      <c r="Z26" s="29">
        <v>1.1218999999999999</v>
      </c>
    </row>
    <row r="27" spans="1:26" ht="15" customHeight="1" x14ac:dyDescent="0.35">
      <c r="A27" s="28" t="s">
        <v>96</v>
      </c>
      <c r="B27" s="26">
        <v>0.1</v>
      </c>
      <c r="C27" s="29">
        <v>5.1000000000000004E-3</v>
      </c>
      <c r="D27" s="29">
        <v>1.14E-2</v>
      </c>
      <c r="E27" s="29">
        <v>1.6299999999999999E-2</v>
      </c>
      <c r="F27" s="29">
        <v>1.4E-2</v>
      </c>
      <c r="G27" s="29">
        <v>1.8100000000000002E-2</v>
      </c>
      <c r="H27" s="29">
        <v>2.8000000000000001E-2</v>
      </c>
      <c r="I27" s="29">
        <v>2.75E-2</v>
      </c>
      <c r="J27" s="29">
        <v>2.8400000000000002E-2</v>
      </c>
      <c r="K27" s="29">
        <v>3.2199999999999999E-2</v>
      </c>
      <c r="L27" s="29">
        <v>3.1199999999999999E-2</v>
      </c>
      <c r="M27" s="29">
        <v>3.5200000000000002E-2</v>
      </c>
      <c r="N27" s="29">
        <v>3.9399999999999998E-2</v>
      </c>
      <c r="O27" s="29">
        <v>4.4900000000000002E-2</v>
      </c>
      <c r="P27" s="29">
        <v>4.4299999999999999E-2</v>
      </c>
      <c r="Q27" s="29">
        <v>4.7199999999999999E-2</v>
      </c>
      <c r="R27" s="29">
        <v>4.87E-2</v>
      </c>
      <c r="S27" s="29">
        <v>5.7299999999999997E-2</v>
      </c>
      <c r="T27" s="29">
        <v>5.6300000000000003E-2</v>
      </c>
      <c r="U27" s="29">
        <v>6.6100000000000006E-2</v>
      </c>
      <c r="V27" s="29">
        <v>6.8599999999999994E-2</v>
      </c>
      <c r="W27" s="29">
        <v>6.3700000000000007E-2</v>
      </c>
      <c r="X27" s="29">
        <v>6.8400000000000002E-2</v>
      </c>
      <c r="Y27" s="29">
        <v>7.5700000000000003E-2</v>
      </c>
      <c r="Z27" s="29">
        <v>7.4099999999999999E-2</v>
      </c>
    </row>
    <row r="28" spans="1:26" ht="15" customHeight="1" x14ac:dyDescent="0.35">
      <c r="A28" s="28" t="s">
        <v>98</v>
      </c>
      <c r="B28" s="26">
        <v>0.02</v>
      </c>
      <c r="C28" s="30">
        <v>1.9E-2</v>
      </c>
      <c r="D28" s="29">
        <v>4.3099999999999999E-2</v>
      </c>
      <c r="E28" s="29">
        <v>3.2099999999999997E-2</v>
      </c>
      <c r="F28" s="29">
        <v>2.92E-2</v>
      </c>
      <c r="G28" s="29">
        <v>3.85E-2</v>
      </c>
      <c r="H28" s="29">
        <v>3.9199999999999999E-2</v>
      </c>
      <c r="I28" s="29">
        <v>2.07E-2</v>
      </c>
      <c r="J28" s="30">
        <v>1.7899999999999999E-2</v>
      </c>
      <c r="K28" s="29">
        <v>2.7900000000000001E-2</v>
      </c>
      <c r="L28" s="29">
        <v>2.7699999999999999E-2</v>
      </c>
      <c r="M28" s="29">
        <v>2.9000000000000001E-2</v>
      </c>
      <c r="N28" s="29">
        <v>3.6900000000000002E-2</v>
      </c>
      <c r="O28" s="29">
        <v>3.5200000000000002E-2</v>
      </c>
      <c r="P28" s="29">
        <v>4.4499999999999998E-2</v>
      </c>
      <c r="Q28" s="30">
        <v>1.7999999999999999E-2</v>
      </c>
      <c r="R28" s="29">
        <v>2.7099999999999999E-2</v>
      </c>
      <c r="S28" s="29">
        <v>2.52E-2</v>
      </c>
      <c r="T28" s="29">
        <v>4.0899999999999999E-2</v>
      </c>
      <c r="U28" s="29">
        <v>2.2499999999999999E-2</v>
      </c>
      <c r="V28" s="29">
        <v>2.07E-2</v>
      </c>
      <c r="W28" s="29">
        <v>2.8500000000000001E-2</v>
      </c>
      <c r="X28" s="29">
        <v>2.7699999999999999E-2</v>
      </c>
      <c r="Y28" s="29">
        <v>2.3400000000000001E-2</v>
      </c>
      <c r="Z28" s="29">
        <v>2.2499999999999999E-2</v>
      </c>
    </row>
    <row r="29" spans="1:26" ht="15" customHeight="1" x14ac:dyDescent="0.35">
      <c r="A29" s="33" t="s">
        <v>124</v>
      </c>
      <c r="B29" s="34"/>
      <c r="C29" s="35">
        <v>2</v>
      </c>
      <c r="D29" s="35">
        <v>2</v>
      </c>
      <c r="E29" s="35">
        <v>1</v>
      </c>
      <c r="F29" s="35">
        <v>2</v>
      </c>
      <c r="G29" s="36">
        <v>2</v>
      </c>
      <c r="H29" s="35">
        <v>2</v>
      </c>
      <c r="I29" s="36">
        <v>1</v>
      </c>
      <c r="J29" s="36">
        <v>1</v>
      </c>
      <c r="K29" s="36">
        <v>1</v>
      </c>
      <c r="L29" s="36">
        <v>1</v>
      </c>
      <c r="M29" s="36">
        <v>2</v>
      </c>
      <c r="N29" s="36">
        <v>1</v>
      </c>
      <c r="O29" s="36">
        <v>0</v>
      </c>
      <c r="P29" s="36">
        <v>1</v>
      </c>
      <c r="Q29" s="36">
        <v>2</v>
      </c>
      <c r="R29" s="36">
        <v>1</v>
      </c>
      <c r="S29" s="36">
        <v>0</v>
      </c>
      <c r="T29" s="36">
        <v>0</v>
      </c>
      <c r="U29" s="36">
        <v>3</v>
      </c>
      <c r="V29" s="36">
        <v>1</v>
      </c>
      <c r="W29" s="36">
        <v>2</v>
      </c>
      <c r="X29" s="36">
        <v>3</v>
      </c>
      <c r="Y29" s="36">
        <v>1</v>
      </c>
      <c r="Z29" s="36">
        <v>0</v>
      </c>
    </row>
    <row r="30" spans="1:26" ht="15" customHeight="1" x14ac:dyDescent="0.35">
      <c r="A30" s="37" t="s">
        <v>432</v>
      </c>
      <c r="B30" s="38"/>
      <c r="C30" s="26">
        <v>8</v>
      </c>
      <c r="D30" s="26">
        <v>20</v>
      </c>
      <c r="E30" s="26">
        <v>15</v>
      </c>
      <c r="F30" s="26">
        <v>22</v>
      </c>
      <c r="G30" s="24">
        <v>8</v>
      </c>
      <c r="H30" s="26">
        <v>6</v>
      </c>
      <c r="I30" s="24">
        <v>13</v>
      </c>
      <c r="J30" s="24">
        <v>11</v>
      </c>
      <c r="K30" s="24">
        <v>3</v>
      </c>
      <c r="L30" s="24">
        <v>4</v>
      </c>
      <c r="M30" s="24">
        <v>30</v>
      </c>
      <c r="N30" s="24">
        <v>6</v>
      </c>
      <c r="O30" s="24">
        <v>0</v>
      </c>
      <c r="P30" s="24">
        <v>5</v>
      </c>
      <c r="Q30" s="24">
        <v>18</v>
      </c>
      <c r="R30" s="24">
        <v>10</v>
      </c>
      <c r="S30" s="24">
        <v>0</v>
      </c>
      <c r="T30" s="24">
        <v>0</v>
      </c>
      <c r="U30" s="24">
        <v>30</v>
      </c>
      <c r="V30" s="24">
        <v>6</v>
      </c>
      <c r="W30" s="24">
        <v>18</v>
      </c>
      <c r="X30" s="24">
        <v>9</v>
      </c>
      <c r="Y30" s="24">
        <v>5</v>
      </c>
      <c r="Z30" s="24">
        <v>0</v>
      </c>
    </row>
  </sheetData>
  <mergeCells count="7">
    <mergeCell ref="A1:N1"/>
    <mergeCell ref="A2:N2"/>
    <mergeCell ref="B4:B7"/>
    <mergeCell ref="C4:C7"/>
    <mergeCell ref="D4:D7"/>
    <mergeCell ref="E4:E7"/>
    <mergeCell ref="F4:F7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17"/>
  <sheetViews>
    <sheetView zoomScaleNormal="100" workbookViewId="0">
      <selection activeCell="A5" sqref="A5:X5"/>
    </sheetView>
  </sheetViews>
  <sheetFormatPr defaultColWidth="8.6328125" defaultRowHeight="14.5" x14ac:dyDescent="0.35"/>
  <cols>
    <col min="1" max="1" width="12" customWidth="1"/>
    <col min="2" max="23" width="15" customWidth="1"/>
  </cols>
  <sheetData>
    <row r="1" spans="1:24" ht="18" x14ac:dyDescent="0.4">
      <c r="A1" s="112" t="s">
        <v>125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 ht="18" x14ac:dyDescent="0.4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</row>
    <row r="3" spans="1:24" ht="18" x14ac:dyDescent="0.4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</row>
    <row r="4" spans="1:24" ht="18" x14ac:dyDescent="0.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</row>
    <row r="5" spans="1:24" x14ac:dyDescent="0.35">
      <c r="A5" s="109" t="s">
        <v>259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 ht="18" customHeight="1" x14ac:dyDescent="0.4">
      <c r="A6" s="50"/>
      <c r="B6" s="111" t="s">
        <v>392</v>
      </c>
      <c r="C6" s="111" t="s">
        <v>393</v>
      </c>
      <c r="D6" s="111" t="s">
        <v>394</v>
      </c>
      <c r="E6" s="111" t="s">
        <v>395</v>
      </c>
      <c r="F6" s="111" t="s">
        <v>396</v>
      </c>
      <c r="G6" s="111" t="s">
        <v>397</v>
      </c>
      <c r="H6" s="111" t="s">
        <v>398</v>
      </c>
      <c r="I6" s="111" t="s">
        <v>399</v>
      </c>
      <c r="J6" s="111" t="s">
        <v>400</v>
      </c>
      <c r="K6" s="111" t="s">
        <v>401</v>
      </c>
      <c r="L6" s="111" t="s">
        <v>402</v>
      </c>
      <c r="M6" s="111" t="s">
        <v>403</v>
      </c>
      <c r="N6" s="111" t="s">
        <v>354</v>
      </c>
      <c r="O6" s="111" t="s">
        <v>355</v>
      </c>
      <c r="P6" s="111" t="s">
        <v>404</v>
      </c>
      <c r="Q6" s="111" t="s">
        <v>380</v>
      </c>
      <c r="R6" s="111" t="s">
        <v>382</v>
      </c>
      <c r="S6" s="111" t="s">
        <v>378</v>
      </c>
      <c r="T6" s="111" t="s">
        <v>379</v>
      </c>
      <c r="U6" s="111" t="s">
        <v>405</v>
      </c>
      <c r="V6" s="111"/>
      <c r="W6" s="111"/>
      <c r="X6" s="50"/>
    </row>
    <row r="7" spans="1:24" s="83" customFormat="1" ht="12" customHeight="1" x14ac:dyDescent="0.3">
      <c r="A7" s="82"/>
      <c r="B7" s="111"/>
      <c r="C7" s="111" t="s">
        <v>393</v>
      </c>
      <c r="D7" s="111" t="s">
        <v>394</v>
      </c>
      <c r="E7" s="111" t="s">
        <v>395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82"/>
    </row>
    <row r="8" spans="1:24" s="83" customFormat="1" ht="12" x14ac:dyDescent="0.3">
      <c r="A8" s="82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82"/>
    </row>
    <row r="9" spans="1:24" s="83" customFormat="1" ht="12" x14ac:dyDescent="0.3">
      <c r="A9" s="82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82"/>
    </row>
    <row r="10" spans="1:24" s="83" customFormat="1" ht="12" x14ac:dyDescent="0.3">
      <c r="A10" s="82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82"/>
    </row>
    <row r="11" spans="1:24" x14ac:dyDescent="0.35">
      <c r="A11" s="1" t="s">
        <v>41</v>
      </c>
      <c r="B11" s="113" t="s">
        <v>435</v>
      </c>
      <c r="C11" s="113"/>
      <c r="D11" s="113"/>
      <c r="E11" s="113"/>
      <c r="F11" s="113"/>
      <c r="G11" s="113" t="s">
        <v>126</v>
      </c>
      <c r="H11" s="113"/>
      <c r="I11" s="113"/>
      <c r="J11" s="113" t="s">
        <v>127</v>
      </c>
      <c r="K11" s="113"/>
      <c r="L11" s="113" t="s">
        <v>128</v>
      </c>
      <c r="M11" s="113"/>
      <c r="N11" s="113"/>
      <c r="O11" s="113"/>
      <c r="P11" s="113"/>
      <c r="Q11" s="113" t="s">
        <v>129</v>
      </c>
      <c r="R11" s="113"/>
      <c r="S11" s="113"/>
      <c r="T11" s="113"/>
      <c r="U11" s="114" t="s">
        <v>257</v>
      </c>
      <c r="V11" s="113"/>
      <c r="W11" s="113"/>
    </row>
    <row r="12" spans="1:24" ht="26.5" x14ac:dyDescent="0.35">
      <c r="A12" s="39" t="s">
        <v>41</v>
      </c>
      <c r="B12" s="39" t="s">
        <v>424</v>
      </c>
      <c r="C12" s="39" t="s">
        <v>425</v>
      </c>
      <c r="D12" s="39" t="s">
        <v>419</v>
      </c>
      <c r="E12" s="39" t="s">
        <v>420</v>
      </c>
      <c r="F12" s="39" t="s">
        <v>426</v>
      </c>
      <c r="G12" s="39" t="s">
        <v>370</v>
      </c>
      <c r="H12" s="39" t="s">
        <v>433</v>
      </c>
      <c r="I12" s="39" t="s">
        <v>434</v>
      </c>
      <c r="J12" s="39" t="s">
        <v>436</v>
      </c>
      <c r="K12" s="39" t="s">
        <v>437</v>
      </c>
      <c r="L12" s="39" t="s">
        <v>438</v>
      </c>
      <c r="M12" s="39" t="s">
        <v>427</v>
      </c>
      <c r="N12" s="39" t="s">
        <v>428</v>
      </c>
      <c r="O12" s="39" t="s">
        <v>429</v>
      </c>
      <c r="P12" s="39" t="s">
        <v>430</v>
      </c>
      <c r="Q12" s="39" t="s">
        <v>439</v>
      </c>
      <c r="R12" s="39" t="s">
        <v>440</v>
      </c>
      <c r="S12" s="39" t="s">
        <v>441</v>
      </c>
      <c r="T12" s="39" t="s">
        <v>445</v>
      </c>
      <c r="U12" s="39" t="s">
        <v>442</v>
      </c>
      <c r="V12" s="39" t="s">
        <v>443</v>
      </c>
      <c r="W12" s="39" t="s">
        <v>444</v>
      </c>
    </row>
    <row r="13" spans="1:24" x14ac:dyDescent="0.35">
      <c r="A13" s="40">
        <v>45108</v>
      </c>
      <c r="B13" s="27">
        <v>9492665055</v>
      </c>
      <c r="C13" s="27">
        <v>10245105348</v>
      </c>
      <c r="D13" s="41">
        <v>6.6E-3</v>
      </c>
      <c r="E13" s="41">
        <v>0.2427</v>
      </c>
      <c r="F13" s="41">
        <v>3.6400000000000002E-2</v>
      </c>
      <c r="G13" s="41">
        <v>1.1754</v>
      </c>
      <c r="H13" s="27">
        <v>59146353</v>
      </c>
      <c r="I13" s="27">
        <v>498397941</v>
      </c>
      <c r="J13" s="27">
        <v>31673050</v>
      </c>
      <c r="K13" s="27">
        <v>26552248</v>
      </c>
      <c r="L13" s="41">
        <v>0.94620000000000004</v>
      </c>
      <c r="M13" s="41">
        <v>1.9599999999999999E-2</v>
      </c>
      <c r="N13" s="41">
        <v>1.95E-2</v>
      </c>
      <c r="O13" s="41">
        <v>9.1000000000000004E-3</v>
      </c>
      <c r="P13" s="41">
        <v>5.5999999999999999E-3</v>
      </c>
      <c r="Q13" s="27">
        <v>5596760897</v>
      </c>
      <c r="R13" s="27">
        <v>2582530476</v>
      </c>
      <c r="S13" s="27">
        <v>33</v>
      </c>
      <c r="T13" s="27">
        <v>64774434</v>
      </c>
      <c r="U13" s="26">
        <v>0.44190000000000002</v>
      </c>
      <c r="V13" s="26">
        <v>0.35310000000000002</v>
      </c>
      <c r="W13" s="26">
        <v>0.2049</v>
      </c>
    </row>
    <row r="14" spans="1:24" x14ac:dyDescent="0.35">
      <c r="A14" s="40">
        <v>45115</v>
      </c>
      <c r="B14" s="27">
        <v>9340041238</v>
      </c>
      <c r="C14" s="27">
        <v>9891379078</v>
      </c>
      <c r="D14" s="41">
        <v>1.14E-2</v>
      </c>
      <c r="E14" s="41">
        <v>0.18310000000000001</v>
      </c>
      <c r="F14" s="41">
        <v>4.0099999999999997E-2</v>
      </c>
      <c r="G14" s="41">
        <v>1.17</v>
      </c>
      <c r="H14" s="27">
        <v>55833564</v>
      </c>
      <c r="I14" s="27">
        <v>302737859</v>
      </c>
      <c r="J14" s="27">
        <v>44527075</v>
      </c>
      <c r="K14" s="27">
        <v>8469374</v>
      </c>
      <c r="L14" s="41">
        <v>0.95469999999999999</v>
      </c>
      <c r="M14" s="41">
        <v>1.8200000000000001E-2</v>
      </c>
      <c r="N14" s="41">
        <v>1.32E-2</v>
      </c>
      <c r="O14" s="41">
        <v>8.3999999999999995E-3</v>
      </c>
      <c r="P14" s="41">
        <v>5.4999999999999997E-3</v>
      </c>
      <c r="Q14" s="27">
        <v>5690417392</v>
      </c>
      <c r="R14" s="27">
        <v>3342388597</v>
      </c>
      <c r="S14" s="27">
        <v>21</v>
      </c>
      <c r="T14" s="27">
        <v>37437841</v>
      </c>
      <c r="U14" s="26">
        <v>0.35699999999999998</v>
      </c>
      <c r="V14" s="26">
        <v>0.3664</v>
      </c>
      <c r="W14" s="26">
        <v>0.27660000000000001</v>
      </c>
    </row>
    <row r="15" spans="1:24" x14ac:dyDescent="0.35">
      <c r="A15" s="40">
        <v>45122</v>
      </c>
      <c r="B15" s="27">
        <v>9693242479</v>
      </c>
      <c r="C15" s="27">
        <v>10423593822</v>
      </c>
      <c r="D15" s="41">
        <v>9.5999999999999992E-3</v>
      </c>
      <c r="E15" s="41">
        <v>0.23300000000000001</v>
      </c>
      <c r="F15" s="41">
        <v>2.75E-2</v>
      </c>
      <c r="G15" s="41">
        <v>1.1741999999999999</v>
      </c>
      <c r="H15" s="27">
        <v>57547027</v>
      </c>
      <c r="I15" s="27">
        <v>213605159</v>
      </c>
      <c r="J15" s="27">
        <v>22804689</v>
      </c>
      <c r="K15" s="27">
        <v>102914687</v>
      </c>
      <c r="L15" s="41">
        <v>0.94540000000000002</v>
      </c>
      <c r="M15" s="41">
        <v>2.0199999999999999E-2</v>
      </c>
      <c r="N15" s="41">
        <v>1.89E-2</v>
      </c>
      <c r="O15" s="41">
        <v>7.9000000000000008E-3</v>
      </c>
      <c r="P15" s="41">
        <v>7.4999999999999997E-3</v>
      </c>
      <c r="Q15" s="27">
        <v>5074503723</v>
      </c>
      <c r="R15" s="27">
        <v>3130878384</v>
      </c>
      <c r="S15" s="27">
        <v>30</v>
      </c>
      <c r="T15" s="27">
        <v>36930398</v>
      </c>
      <c r="U15" s="26">
        <v>0.40389999999999998</v>
      </c>
      <c r="V15" s="26">
        <v>0.4</v>
      </c>
      <c r="W15" s="26">
        <v>0.1961</v>
      </c>
    </row>
    <row r="16" spans="1:24" x14ac:dyDescent="0.35">
      <c r="A16" s="40">
        <v>45129</v>
      </c>
      <c r="B16" s="27">
        <v>9636950116</v>
      </c>
      <c r="C16" s="27">
        <v>10346576447</v>
      </c>
      <c r="D16" s="41">
        <v>0.01</v>
      </c>
      <c r="E16" s="41">
        <v>0.21759999999999999</v>
      </c>
      <c r="F16" s="41">
        <v>3.6600000000000001E-2</v>
      </c>
      <c r="G16" s="41">
        <v>1.1588000000000001</v>
      </c>
      <c r="H16" s="27">
        <v>41342534</v>
      </c>
      <c r="I16" s="27">
        <v>479372259</v>
      </c>
      <c r="J16" s="27">
        <v>29331876</v>
      </c>
      <c r="K16" s="27">
        <v>29663469</v>
      </c>
      <c r="L16" s="41">
        <v>0.95320000000000005</v>
      </c>
      <c r="M16" s="41">
        <v>1.78E-2</v>
      </c>
      <c r="N16" s="41">
        <v>1.77E-2</v>
      </c>
      <c r="O16" s="41">
        <v>7.1000000000000004E-3</v>
      </c>
      <c r="P16" s="41">
        <v>4.1999999999999997E-3</v>
      </c>
      <c r="Q16" s="27">
        <v>5300543355</v>
      </c>
      <c r="R16" s="27">
        <v>2707343171</v>
      </c>
      <c r="S16" s="27">
        <v>22</v>
      </c>
      <c r="T16" s="27">
        <v>30569495</v>
      </c>
      <c r="U16" s="26">
        <v>0.4264</v>
      </c>
      <c r="V16" s="26">
        <v>0.36059999999999998</v>
      </c>
      <c r="W16" s="26">
        <v>0.21290000000000001</v>
      </c>
    </row>
    <row r="17" spans="1:23" x14ac:dyDescent="0.35">
      <c r="A17" s="40">
        <v>45136</v>
      </c>
      <c r="B17" s="27">
        <v>10190391882</v>
      </c>
      <c r="C17" s="27">
        <v>10755062332</v>
      </c>
      <c r="D17" s="41">
        <v>1.24E-2</v>
      </c>
      <c r="E17" s="41">
        <v>0.24909999999999999</v>
      </c>
      <c r="F17" s="41">
        <v>3.27E-2</v>
      </c>
      <c r="G17" s="41">
        <v>1.1942999999999999</v>
      </c>
      <c r="H17" s="27">
        <v>48718848</v>
      </c>
      <c r="I17" s="27">
        <v>476986938</v>
      </c>
      <c r="J17" s="27">
        <v>30232130</v>
      </c>
      <c r="K17" s="27">
        <v>29616484</v>
      </c>
      <c r="L17" s="41">
        <v>0.94499999999999995</v>
      </c>
      <c r="M17" s="41">
        <v>2.0400000000000001E-2</v>
      </c>
      <c r="N17" s="41">
        <v>1.7500000000000002E-2</v>
      </c>
      <c r="O17" s="41">
        <v>1.1299999999999999E-2</v>
      </c>
      <c r="P17" s="41">
        <v>5.7999999999999996E-3</v>
      </c>
      <c r="Q17" s="27">
        <v>4637752669</v>
      </c>
      <c r="R17" s="27">
        <v>2586549404</v>
      </c>
      <c r="S17" s="27">
        <v>26</v>
      </c>
      <c r="T17" s="27">
        <v>45029502</v>
      </c>
      <c r="U17" s="26">
        <v>0.42630000000000001</v>
      </c>
      <c r="V17" s="26">
        <v>0.3377</v>
      </c>
      <c r="W17" s="26">
        <v>0.23599999999999999</v>
      </c>
    </row>
    <row r="18" spans="1:23" x14ac:dyDescent="0.35">
      <c r="A18" s="40">
        <v>45143</v>
      </c>
      <c r="B18" s="27">
        <v>9687373654</v>
      </c>
      <c r="C18" s="27">
        <v>10420459347</v>
      </c>
      <c r="D18" s="41">
        <v>1.26E-2</v>
      </c>
      <c r="E18" s="41">
        <v>0.2006</v>
      </c>
      <c r="F18" s="41">
        <v>4.6600000000000003E-2</v>
      </c>
      <c r="G18" s="41">
        <v>1.1751</v>
      </c>
      <c r="H18" s="27">
        <v>56654770</v>
      </c>
      <c r="I18" s="27">
        <v>411295773</v>
      </c>
      <c r="J18" s="27">
        <v>25161458</v>
      </c>
      <c r="K18" s="27">
        <v>8455091</v>
      </c>
      <c r="L18" s="41">
        <v>0.94489999999999996</v>
      </c>
      <c r="M18" s="41">
        <v>1.83E-2</v>
      </c>
      <c r="N18" s="41">
        <v>1.9599999999999999E-2</v>
      </c>
      <c r="O18" s="41">
        <v>1.0500000000000001E-2</v>
      </c>
      <c r="P18" s="41">
        <v>6.7000000000000002E-3</v>
      </c>
      <c r="Q18" s="27">
        <v>5967907588</v>
      </c>
      <c r="R18" s="27">
        <v>3840073708</v>
      </c>
      <c r="S18" s="27">
        <v>32</v>
      </c>
      <c r="T18" s="27">
        <v>57127683</v>
      </c>
      <c r="U18" s="26">
        <v>0.42909999999999998</v>
      </c>
      <c r="V18" s="26">
        <v>0.3014</v>
      </c>
      <c r="W18" s="26">
        <v>0.26950000000000002</v>
      </c>
    </row>
    <row r="19" spans="1:23" x14ac:dyDescent="0.35">
      <c r="A19" s="40">
        <v>45150</v>
      </c>
      <c r="B19" s="27">
        <v>9300544763</v>
      </c>
      <c r="C19" s="27">
        <v>9737173541</v>
      </c>
      <c r="D19" s="41">
        <v>1.09E-2</v>
      </c>
      <c r="E19" s="41">
        <v>0.21329999999999999</v>
      </c>
      <c r="F19" s="41">
        <v>2.8500000000000001E-2</v>
      </c>
      <c r="G19" s="41">
        <v>1.171</v>
      </c>
      <c r="H19" s="27">
        <v>53932157</v>
      </c>
      <c r="I19" s="27">
        <v>281005358</v>
      </c>
      <c r="J19" s="27">
        <v>19579168</v>
      </c>
      <c r="K19" s="27">
        <v>32689551</v>
      </c>
      <c r="L19" s="41">
        <v>0.94350000000000001</v>
      </c>
      <c r="M19" s="41">
        <v>2.69E-2</v>
      </c>
      <c r="N19" s="41">
        <v>1.4800000000000001E-2</v>
      </c>
      <c r="O19" s="41">
        <v>7.7000000000000002E-3</v>
      </c>
      <c r="P19" s="41">
        <v>7.1999999999999998E-3</v>
      </c>
      <c r="Q19" s="27">
        <v>5698830856</v>
      </c>
      <c r="R19" s="27">
        <v>3198606429</v>
      </c>
      <c r="S19" s="27">
        <v>33</v>
      </c>
      <c r="T19" s="27">
        <v>90109780</v>
      </c>
      <c r="U19" s="26">
        <v>0.40620000000000001</v>
      </c>
      <c r="V19" s="26">
        <v>0.36699999999999999</v>
      </c>
      <c r="W19" s="26">
        <v>0.2268</v>
      </c>
    </row>
    <row r="20" spans="1:23" x14ac:dyDescent="0.35">
      <c r="A20" s="40">
        <v>45157</v>
      </c>
      <c r="B20" s="27">
        <v>9971098121</v>
      </c>
      <c r="C20" s="27">
        <v>10649071546</v>
      </c>
      <c r="D20" s="41">
        <v>1.14E-2</v>
      </c>
      <c r="E20" s="41">
        <v>0.25390000000000001</v>
      </c>
      <c r="F20" s="41">
        <v>4.0500000000000001E-2</v>
      </c>
      <c r="G20" s="41">
        <v>1.1827000000000001</v>
      </c>
      <c r="H20" s="27">
        <v>53225436</v>
      </c>
      <c r="I20" s="27">
        <v>452486406</v>
      </c>
      <c r="J20" s="27">
        <v>33816522</v>
      </c>
      <c r="K20" s="27">
        <v>9528722</v>
      </c>
      <c r="L20" s="41">
        <v>0.94779999999999998</v>
      </c>
      <c r="M20" s="41">
        <v>2.3E-2</v>
      </c>
      <c r="N20" s="41">
        <v>1.6400000000000001E-2</v>
      </c>
      <c r="O20" s="41">
        <v>8.6E-3</v>
      </c>
      <c r="P20" s="41">
        <v>4.3E-3</v>
      </c>
      <c r="Q20" s="27">
        <v>5211739016</v>
      </c>
      <c r="R20" s="27">
        <v>2668835499</v>
      </c>
      <c r="S20" s="27">
        <v>29</v>
      </c>
      <c r="T20" s="27">
        <v>36544976</v>
      </c>
      <c r="U20" s="26">
        <v>0.38690000000000002</v>
      </c>
      <c r="V20" s="26">
        <v>0.32869999999999999</v>
      </c>
      <c r="W20" s="26">
        <v>0.28439999999999999</v>
      </c>
    </row>
    <row r="21" spans="1:23" x14ac:dyDescent="0.35">
      <c r="A21" s="40">
        <v>45164</v>
      </c>
      <c r="B21" s="27">
        <v>9455508632</v>
      </c>
      <c r="C21" s="27">
        <v>9751782901</v>
      </c>
      <c r="D21" s="41">
        <v>9.4999999999999998E-3</v>
      </c>
      <c r="E21" s="41">
        <v>0.22020000000000001</v>
      </c>
      <c r="F21" s="41">
        <v>3.2399999999999998E-2</v>
      </c>
      <c r="G21" s="41">
        <v>1.2035</v>
      </c>
      <c r="H21" s="27">
        <v>48338253</v>
      </c>
      <c r="I21" s="27">
        <v>159865641</v>
      </c>
      <c r="J21" s="27">
        <v>42924777</v>
      </c>
      <c r="K21" s="27">
        <v>30175289</v>
      </c>
      <c r="L21" s="41">
        <v>0.94279999999999997</v>
      </c>
      <c r="M21" s="41">
        <v>2.6200000000000001E-2</v>
      </c>
      <c r="N21" s="41">
        <v>1.4999999999999999E-2</v>
      </c>
      <c r="O21" s="41">
        <v>8.5000000000000006E-3</v>
      </c>
      <c r="P21" s="41">
        <v>7.6E-3</v>
      </c>
      <c r="Q21" s="27">
        <v>5513715182</v>
      </c>
      <c r="R21" s="27">
        <v>2634224506</v>
      </c>
      <c r="S21" s="27">
        <v>30</v>
      </c>
      <c r="T21" s="27">
        <v>57532871</v>
      </c>
      <c r="U21" s="26">
        <v>0.35049999999999998</v>
      </c>
      <c r="V21" s="26">
        <v>0.30790000000000001</v>
      </c>
      <c r="W21" s="26">
        <v>0.34160000000000001</v>
      </c>
    </row>
    <row r="22" spans="1:23" x14ac:dyDescent="0.35">
      <c r="A22" s="40">
        <v>45171</v>
      </c>
      <c r="B22" s="27">
        <v>9683422737</v>
      </c>
      <c r="C22" s="27">
        <v>10166642016</v>
      </c>
      <c r="D22" s="41">
        <v>1.3599999999999999E-2</v>
      </c>
      <c r="E22" s="41">
        <v>0.2</v>
      </c>
      <c r="F22" s="41">
        <v>2.9600000000000001E-2</v>
      </c>
      <c r="G22" s="41">
        <v>1.1872</v>
      </c>
      <c r="H22" s="27">
        <v>50925879</v>
      </c>
      <c r="I22" s="27">
        <v>285445583</v>
      </c>
      <c r="J22" s="27">
        <v>31850181</v>
      </c>
      <c r="K22" s="27">
        <v>12853300</v>
      </c>
      <c r="L22" s="41">
        <v>0.93910000000000005</v>
      </c>
      <c r="M22" s="41">
        <v>2.3E-2</v>
      </c>
      <c r="N22" s="41">
        <v>2.1000000000000001E-2</v>
      </c>
      <c r="O22" s="41">
        <v>8.6999999999999994E-3</v>
      </c>
      <c r="P22" s="41">
        <v>8.2000000000000007E-3</v>
      </c>
      <c r="Q22" s="27">
        <v>5185920312</v>
      </c>
      <c r="R22" s="27">
        <v>2460861720</v>
      </c>
      <c r="S22" s="27">
        <v>17</v>
      </c>
      <c r="T22" s="27">
        <v>32695561</v>
      </c>
      <c r="U22" s="26">
        <v>0.43990000000000001</v>
      </c>
      <c r="V22" s="26">
        <v>0.34449999999999997</v>
      </c>
      <c r="W22" s="26">
        <v>0.21560000000000001</v>
      </c>
    </row>
    <row r="23" spans="1:23" x14ac:dyDescent="0.35">
      <c r="A23" s="40">
        <v>45178</v>
      </c>
      <c r="B23" s="27">
        <v>9459949868</v>
      </c>
      <c r="C23" s="27">
        <v>9767653848</v>
      </c>
      <c r="D23" s="41">
        <v>1.32E-2</v>
      </c>
      <c r="E23" s="41">
        <v>0.25059999999999999</v>
      </c>
      <c r="F23" s="41">
        <v>4.3299999999999998E-2</v>
      </c>
      <c r="G23" s="41">
        <v>1.1706000000000001</v>
      </c>
      <c r="H23" s="27">
        <v>51783815</v>
      </c>
      <c r="I23" s="27">
        <v>446510328</v>
      </c>
      <c r="J23" s="27">
        <v>27927833</v>
      </c>
      <c r="K23" s="27">
        <v>31473672</v>
      </c>
      <c r="L23" s="41">
        <v>0.94130000000000003</v>
      </c>
      <c r="M23" s="41">
        <v>2.6200000000000001E-2</v>
      </c>
      <c r="N23" s="41">
        <v>1.67E-2</v>
      </c>
      <c r="O23" s="41">
        <v>9.1000000000000004E-3</v>
      </c>
      <c r="P23" s="41">
        <v>6.7000000000000002E-3</v>
      </c>
      <c r="Q23" s="27">
        <v>4711448483</v>
      </c>
      <c r="R23" s="27">
        <v>2641448081</v>
      </c>
      <c r="S23" s="27">
        <v>17</v>
      </c>
      <c r="T23" s="27">
        <v>30908688</v>
      </c>
      <c r="U23" s="26">
        <v>0.39500000000000002</v>
      </c>
      <c r="V23" s="26">
        <v>0.35499999999999998</v>
      </c>
      <c r="W23" s="26">
        <v>0.25</v>
      </c>
    </row>
    <row r="24" spans="1:23" x14ac:dyDescent="0.35">
      <c r="A24" s="40">
        <v>45185</v>
      </c>
      <c r="B24" s="27">
        <v>9708640407</v>
      </c>
      <c r="C24" s="27">
        <v>10450914354</v>
      </c>
      <c r="D24" s="41">
        <v>1.32E-2</v>
      </c>
      <c r="E24" s="41">
        <v>0.25480000000000003</v>
      </c>
      <c r="F24" s="41">
        <v>4.9099999999999998E-2</v>
      </c>
      <c r="G24" s="41">
        <v>1.1701999999999999</v>
      </c>
      <c r="H24" s="27">
        <v>45144119</v>
      </c>
      <c r="I24" s="27">
        <v>487369914</v>
      </c>
      <c r="J24" s="27">
        <v>24635031</v>
      </c>
      <c r="K24" s="27">
        <v>24376938</v>
      </c>
      <c r="L24" s="41">
        <v>0.94550000000000001</v>
      </c>
      <c r="M24" s="41">
        <v>1.9199999999999998E-2</v>
      </c>
      <c r="N24" s="41">
        <v>1.8100000000000002E-2</v>
      </c>
      <c r="O24" s="41">
        <v>9.7999999999999997E-3</v>
      </c>
      <c r="P24" s="41">
        <v>7.4000000000000003E-3</v>
      </c>
      <c r="Q24" s="27">
        <v>5898671008</v>
      </c>
      <c r="R24" s="27">
        <v>3731770295</v>
      </c>
      <c r="S24" s="27">
        <v>20</v>
      </c>
      <c r="T24" s="27">
        <v>37372319</v>
      </c>
      <c r="U24" s="26">
        <v>0.43380000000000002</v>
      </c>
      <c r="V24" s="26">
        <v>0.39340000000000003</v>
      </c>
      <c r="W24" s="26">
        <v>0.17280000000000001</v>
      </c>
    </row>
    <row r="25" spans="1:23" x14ac:dyDescent="0.35">
      <c r="A25" s="40">
        <v>45192</v>
      </c>
      <c r="B25" s="27">
        <v>9694148594</v>
      </c>
      <c r="C25" s="27">
        <v>10301745885</v>
      </c>
      <c r="D25" s="41">
        <v>1.34E-2</v>
      </c>
      <c r="E25" s="41">
        <v>0.1943</v>
      </c>
      <c r="F25" s="41">
        <v>4.07E-2</v>
      </c>
      <c r="G25" s="41">
        <v>1.1725000000000001</v>
      </c>
      <c r="H25" s="27">
        <v>55817163</v>
      </c>
      <c r="I25" s="27">
        <v>227941576</v>
      </c>
      <c r="J25" s="27">
        <v>15104199</v>
      </c>
      <c r="K25" s="27">
        <v>5682060</v>
      </c>
      <c r="L25" s="41">
        <v>0.93730000000000002</v>
      </c>
      <c r="M25" s="41">
        <v>2.6100000000000002E-2</v>
      </c>
      <c r="N25" s="41">
        <v>1.8499999999999999E-2</v>
      </c>
      <c r="O25" s="41">
        <v>1.01E-2</v>
      </c>
      <c r="P25" s="41">
        <v>8.0999999999999996E-3</v>
      </c>
      <c r="Q25" s="27">
        <v>4796019262</v>
      </c>
      <c r="R25" s="27">
        <v>2490246419</v>
      </c>
      <c r="S25" s="27">
        <v>23</v>
      </c>
      <c r="T25" s="27">
        <v>34536081</v>
      </c>
      <c r="U25" s="26">
        <v>0.4375</v>
      </c>
      <c r="V25" s="26">
        <v>0.3765</v>
      </c>
      <c r="W25" s="26">
        <v>0.18590000000000001</v>
      </c>
    </row>
    <row r="26" spans="1:23" x14ac:dyDescent="0.35">
      <c r="A26" s="40">
        <v>45199</v>
      </c>
      <c r="B26" s="27">
        <v>9702637722</v>
      </c>
      <c r="C26" s="27">
        <v>10083004296</v>
      </c>
      <c r="D26" s="41">
        <v>1.72E-2</v>
      </c>
      <c r="E26" s="41">
        <v>0.25919999999999999</v>
      </c>
      <c r="F26" s="41">
        <v>5.1400000000000001E-2</v>
      </c>
      <c r="G26" s="41">
        <v>1.1715</v>
      </c>
      <c r="H26" s="27">
        <v>58146370</v>
      </c>
      <c r="I26" s="27">
        <v>176015644</v>
      </c>
      <c r="J26" s="27">
        <v>39539877</v>
      </c>
      <c r="K26" s="27">
        <v>6455432</v>
      </c>
      <c r="L26" s="41">
        <v>0.9456</v>
      </c>
      <c r="M26" s="41">
        <v>2.1000000000000001E-2</v>
      </c>
      <c r="N26" s="41">
        <v>1.9599999999999999E-2</v>
      </c>
      <c r="O26" s="41">
        <v>8.3999999999999995E-3</v>
      </c>
      <c r="P26" s="41">
        <v>5.4000000000000003E-3</v>
      </c>
      <c r="Q26" s="27">
        <v>4749951476</v>
      </c>
      <c r="R26" s="27">
        <v>2570682915</v>
      </c>
      <c r="S26" s="27">
        <v>16</v>
      </c>
      <c r="T26" s="27">
        <v>35016582</v>
      </c>
      <c r="U26" s="26">
        <v>0.41670000000000001</v>
      </c>
      <c r="V26" s="26">
        <v>0.36170000000000002</v>
      </c>
      <c r="W26" s="26">
        <v>0.22170000000000001</v>
      </c>
    </row>
    <row r="27" spans="1:23" x14ac:dyDescent="0.35">
      <c r="A27" s="40">
        <v>45206</v>
      </c>
      <c r="B27" s="27">
        <v>9231716075</v>
      </c>
      <c r="C27" s="27">
        <v>9684408055</v>
      </c>
      <c r="D27" s="41">
        <v>1.32E-2</v>
      </c>
      <c r="E27" s="41">
        <v>0.2041</v>
      </c>
      <c r="F27" s="41">
        <v>0.04</v>
      </c>
      <c r="G27" s="41">
        <v>1.1431</v>
      </c>
      <c r="H27" s="27">
        <v>50163525</v>
      </c>
      <c r="I27" s="27">
        <v>297385819</v>
      </c>
      <c r="J27" s="27">
        <v>29526939</v>
      </c>
      <c r="K27" s="27">
        <v>7307641</v>
      </c>
      <c r="L27" s="41">
        <v>0.94220000000000004</v>
      </c>
      <c r="M27" s="41">
        <v>2.2100000000000002E-2</v>
      </c>
      <c r="N27" s="41">
        <v>1.95E-2</v>
      </c>
      <c r="O27" s="41">
        <v>1.0699999999999999E-2</v>
      </c>
      <c r="P27" s="41">
        <v>5.5999999999999999E-3</v>
      </c>
      <c r="Q27" s="27">
        <v>4571155788</v>
      </c>
      <c r="R27" s="27">
        <v>2335547937</v>
      </c>
      <c r="S27" s="27">
        <v>27</v>
      </c>
      <c r="T27" s="27">
        <v>46751784</v>
      </c>
      <c r="U27" s="26">
        <v>0.41199999999999998</v>
      </c>
      <c r="V27" s="26">
        <v>0.38040000000000002</v>
      </c>
      <c r="W27" s="26">
        <v>0.20760000000000001</v>
      </c>
    </row>
    <row r="28" spans="1:23" x14ac:dyDescent="0.35">
      <c r="A28" s="40">
        <v>45213</v>
      </c>
      <c r="B28" s="27">
        <v>9476586795</v>
      </c>
      <c r="C28" s="27">
        <v>9854263973</v>
      </c>
      <c r="D28" s="41">
        <v>1.3599999999999999E-2</v>
      </c>
      <c r="E28" s="41">
        <v>0.23369999999999999</v>
      </c>
      <c r="F28" s="41">
        <v>4.0099999999999997E-2</v>
      </c>
      <c r="G28" s="41">
        <v>1.1963999999999999</v>
      </c>
      <c r="H28" s="27">
        <v>47843082</v>
      </c>
      <c r="I28" s="27">
        <v>286023741</v>
      </c>
      <c r="J28" s="27">
        <v>26776320</v>
      </c>
      <c r="K28" s="27">
        <v>8426962</v>
      </c>
      <c r="L28" s="41">
        <v>0.93959999999999999</v>
      </c>
      <c r="M28" s="41">
        <v>2.4500000000000001E-2</v>
      </c>
      <c r="N28" s="41">
        <v>1.6500000000000001E-2</v>
      </c>
      <c r="O28" s="41">
        <v>1.0999999999999999E-2</v>
      </c>
      <c r="P28" s="41">
        <v>8.3000000000000001E-3</v>
      </c>
      <c r="Q28" s="27">
        <v>5869892128</v>
      </c>
      <c r="R28" s="27">
        <v>3334296385</v>
      </c>
      <c r="S28" s="27">
        <v>19</v>
      </c>
      <c r="T28" s="27">
        <v>32320847</v>
      </c>
      <c r="U28" s="26">
        <v>0.37390000000000001</v>
      </c>
      <c r="V28" s="26">
        <v>0.31169999999999998</v>
      </c>
      <c r="W28" s="26">
        <v>0.31440000000000001</v>
      </c>
    </row>
    <row r="29" spans="1:23" x14ac:dyDescent="0.35">
      <c r="A29" s="40">
        <v>45220</v>
      </c>
      <c r="B29" s="27">
        <v>10000639813</v>
      </c>
      <c r="C29" s="27">
        <v>10747764941</v>
      </c>
      <c r="D29" s="41">
        <v>1.7999999999999999E-2</v>
      </c>
      <c r="E29" s="41">
        <v>0.1837</v>
      </c>
      <c r="F29" s="41">
        <v>4.3700000000000003E-2</v>
      </c>
      <c r="G29" s="41">
        <v>1.1879</v>
      </c>
      <c r="H29" s="27">
        <v>42005627</v>
      </c>
      <c r="I29" s="27">
        <v>475301506</v>
      </c>
      <c r="J29" s="27">
        <v>19739505</v>
      </c>
      <c r="K29" s="27">
        <v>18695544</v>
      </c>
      <c r="L29" s="41">
        <v>0.93479999999999996</v>
      </c>
      <c r="M29" s="41">
        <v>2.35E-2</v>
      </c>
      <c r="N29" s="41">
        <v>2.1399999999999999E-2</v>
      </c>
      <c r="O29" s="41">
        <v>1.18E-2</v>
      </c>
      <c r="P29" s="41">
        <v>8.5000000000000006E-3</v>
      </c>
      <c r="Q29" s="27">
        <v>4882984807</v>
      </c>
      <c r="R29" s="27">
        <v>3051302369</v>
      </c>
      <c r="S29" s="27">
        <v>23</v>
      </c>
      <c r="T29" s="27">
        <v>31034911</v>
      </c>
      <c r="U29" s="26">
        <v>0.38600000000000001</v>
      </c>
      <c r="V29" s="26">
        <v>0.30819999999999997</v>
      </c>
      <c r="W29" s="26">
        <v>0.30570000000000003</v>
      </c>
    </row>
    <row r="30" spans="1:23" x14ac:dyDescent="0.35">
      <c r="A30" s="40">
        <v>45227</v>
      </c>
      <c r="B30" s="27">
        <v>10041419833</v>
      </c>
      <c r="C30" s="27">
        <v>10472822807</v>
      </c>
      <c r="D30" s="41">
        <v>1.6199999999999999E-2</v>
      </c>
      <c r="E30" s="41">
        <v>0.24</v>
      </c>
      <c r="F30" s="41">
        <v>5.0099999999999999E-2</v>
      </c>
      <c r="G30" s="41">
        <v>1.1809000000000001</v>
      </c>
      <c r="H30" s="27">
        <v>44146134</v>
      </c>
      <c r="I30" s="27">
        <v>464964099</v>
      </c>
      <c r="J30" s="27">
        <v>25050331</v>
      </c>
      <c r="K30" s="27">
        <v>17879737</v>
      </c>
      <c r="L30" s="41">
        <v>0.93740000000000001</v>
      </c>
      <c r="M30" s="41">
        <v>2.2599999999999999E-2</v>
      </c>
      <c r="N30" s="41">
        <v>2.1899999999999999E-2</v>
      </c>
      <c r="O30" s="41">
        <v>1.0999999999999999E-2</v>
      </c>
      <c r="P30" s="41">
        <v>7.1000000000000004E-3</v>
      </c>
      <c r="Q30" s="27">
        <v>5217251007</v>
      </c>
      <c r="R30" s="27">
        <v>2405610905</v>
      </c>
      <c r="S30" s="27">
        <v>33</v>
      </c>
      <c r="T30" s="27">
        <v>48411338</v>
      </c>
      <c r="U30" s="26">
        <v>0.36570000000000003</v>
      </c>
      <c r="V30" s="26">
        <v>0.37730000000000002</v>
      </c>
      <c r="W30" s="26">
        <v>0.25690000000000002</v>
      </c>
    </row>
    <row r="31" spans="1:23" x14ac:dyDescent="0.35">
      <c r="A31" s="40">
        <v>45234</v>
      </c>
      <c r="B31" s="27">
        <v>9198211184</v>
      </c>
      <c r="C31" s="27">
        <v>9479656635</v>
      </c>
      <c r="D31" s="41">
        <v>1.95E-2</v>
      </c>
      <c r="E31" s="41">
        <v>0.2586</v>
      </c>
      <c r="F31" s="41">
        <v>3.1699999999999999E-2</v>
      </c>
      <c r="G31" s="41">
        <v>1.1856</v>
      </c>
      <c r="H31" s="27">
        <v>49334795</v>
      </c>
      <c r="I31" s="27">
        <v>370604142</v>
      </c>
      <c r="J31" s="27">
        <v>34340550</v>
      </c>
      <c r="K31" s="27">
        <v>22469714</v>
      </c>
      <c r="L31" s="41">
        <v>0.93700000000000006</v>
      </c>
      <c r="M31" s="41">
        <v>2.9100000000000001E-2</v>
      </c>
      <c r="N31" s="41">
        <v>1.61E-2</v>
      </c>
      <c r="O31" s="41">
        <v>8.6999999999999994E-3</v>
      </c>
      <c r="P31" s="41">
        <v>9.1000000000000004E-3</v>
      </c>
      <c r="Q31" s="27">
        <v>5109490118</v>
      </c>
      <c r="R31" s="27">
        <v>2430882383</v>
      </c>
      <c r="S31" s="27">
        <v>25</v>
      </c>
      <c r="T31" s="27">
        <v>34901106</v>
      </c>
      <c r="U31" s="26">
        <v>0.44419999999999998</v>
      </c>
      <c r="V31" s="26">
        <v>0.30509999999999998</v>
      </c>
      <c r="W31" s="26">
        <v>0.25069999999999998</v>
      </c>
    </row>
    <row r="32" spans="1:23" x14ac:dyDescent="0.35">
      <c r="A32" s="40">
        <v>45241</v>
      </c>
      <c r="B32" s="27">
        <v>9778682703</v>
      </c>
      <c r="C32" s="27">
        <v>10384788326</v>
      </c>
      <c r="D32" s="41">
        <v>1.5599999999999999E-2</v>
      </c>
      <c r="E32" s="41">
        <v>0.21970000000000001</v>
      </c>
      <c r="F32" s="41">
        <v>3.6900000000000002E-2</v>
      </c>
      <c r="G32" s="41">
        <v>1.1400999999999999</v>
      </c>
      <c r="H32" s="27">
        <v>48931202</v>
      </c>
      <c r="I32" s="27">
        <v>261831538</v>
      </c>
      <c r="J32" s="27">
        <v>34085603</v>
      </c>
      <c r="K32" s="27">
        <v>33892389</v>
      </c>
      <c r="L32" s="41">
        <v>0.93759999999999999</v>
      </c>
      <c r="M32" s="41">
        <v>2.7099999999999999E-2</v>
      </c>
      <c r="N32" s="41">
        <v>2.0400000000000001E-2</v>
      </c>
      <c r="O32" s="41">
        <v>9.7999999999999997E-3</v>
      </c>
      <c r="P32" s="41">
        <v>5.1999999999999998E-3</v>
      </c>
      <c r="Q32" s="27">
        <v>4735494855</v>
      </c>
      <c r="R32" s="27">
        <v>2787479033</v>
      </c>
      <c r="S32" s="27">
        <v>26</v>
      </c>
      <c r="T32" s="27">
        <v>41876970</v>
      </c>
      <c r="U32" s="26">
        <v>0.36080000000000001</v>
      </c>
      <c r="V32" s="26">
        <v>0.30009999999999998</v>
      </c>
      <c r="W32" s="26">
        <v>0.33910000000000001</v>
      </c>
    </row>
    <row r="33" spans="1:23" x14ac:dyDescent="0.35">
      <c r="A33" s="40">
        <v>45248</v>
      </c>
      <c r="B33" s="27">
        <v>9722961107</v>
      </c>
      <c r="C33" s="27">
        <v>10297917273</v>
      </c>
      <c r="D33" s="41">
        <v>2.1299999999999999E-2</v>
      </c>
      <c r="E33" s="41">
        <v>0.188</v>
      </c>
      <c r="F33" s="41">
        <v>3.15E-2</v>
      </c>
      <c r="G33" s="41">
        <v>1.1814</v>
      </c>
      <c r="H33" s="27">
        <v>57814913</v>
      </c>
      <c r="I33" s="27">
        <v>453616344</v>
      </c>
      <c r="J33" s="27">
        <v>41404074</v>
      </c>
      <c r="K33" s="27">
        <v>31336807</v>
      </c>
      <c r="L33" s="41">
        <v>0.93540000000000001</v>
      </c>
      <c r="M33" s="41">
        <v>2.7799999999999998E-2</v>
      </c>
      <c r="N33" s="41">
        <v>0.02</v>
      </c>
      <c r="O33" s="41">
        <v>1.0699999999999999E-2</v>
      </c>
      <c r="P33" s="41">
        <v>6.1000000000000004E-3</v>
      </c>
      <c r="Q33" s="27">
        <v>5044758333</v>
      </c>
      <c r="R33" s="27">
        <v>2893920057</v>
      </c>
      <c r="S33" s="27">
        <v>27</v>
      </c>
      <c r="T33" s="27">
        <v>34075405</v>
      </c>
      <c r="U33" s="26">
        <v>0.439</v>
      </c>
      <c r="V33" s="26">
        <v>0.33310000000000001</v>
      </c>
      <c r="W33" s="26">
        <v>0.22789999999999999</v>
      </c>
    </row>
    <row r="34" spans="1:23" x14ac:dyDescent="0.35">
      <c r="A34" s="40">
        <v>45255</v>
      </c>
      <c r="B34" s="27">
        <v>9868519548</v>
      </c>
      <c r="C34" s="27">
        <v>10479535641</v>
      </c>
      <c r="D34" s="41">
        <v>1.89E-2</v>
      </c>
      <c r="E34" s="41">
        <v>0.25530000000000003</v>
      </c>
      <c r="F34" s="41">
        <v>3.7999999999999999E-2</v>
      </c>
      <c r="G34" s="41">
        <v>1.1518999999999999</v>
      </c>
      <c r="H34" s="27">
        <v>45604733</v>
      </c>
      <c r="I34" s="27">
        <v>380165140</v>
      </c>
      <c r="J34" s="27">
        <v>31747441</v>
      </c>
      <c r="K34" s="27">
        <v>13813522</v>
      </c>
      <c r="L34" s="41">
        <v>0.93020000000000003</v>
      </c>
      <c r="M34" s="41">
        <v>2.8500000000000001E-2</v>
      </c>
      <c r="N34" s="41">
        <v>2.0899999999999998E-2</v>
      </c>
      <c r="O34" s="41">
        <v>1.11E-2</v>
      </c>
      <c r="P34" s="41">
        <v>9.2999999999999992E-3</v>
      </c>
      <c r="Q34" s="27">
        <v>5915077408</v>
      </c>
      <c r="R34" s="27">
        <v>3726015101</v>
      </c>
      <c r="S34" s="27">
        <v>35</v>
      </c>
      <c r="T34" s="27">
        <v>47000790</v>
      </c>
      <c r="U34" s="26">
        <v>0.38550000000000001</v>
      </c>
      <c r="V34" s="26">
        <v>0.37440000000000001</v>
      </c>
      <c r="W34" s="26">
        <v>0.24010000000000001</v>
      </c>
    </row>
    <row r="35" spans="1:23" x14ac:dyDescent="0.35">
      <c r="A35" s="40">
        <v>45262</v>
      </c>
      <c r="B35" s="27">
        <v>9317207002</v>
      </c>
      <c r="C35" s="27">
        <v>9602662652</v>
      </c>
      <c r="D35" s="41">
        <v>1.7100000000000001E-2</v>
      </c>
      <c r="E35" s="41">
        <v>0.1888</v>
      </c>
      <c r="F35" s="41">
        <v>4.36E-2</v>
      </c>
      <c r="G35" s="41">
        <v>1.1628000000000001</v>
      </c>
      <c r="H35" s="27">
        <v>61298920</v>
      </c>
      <c r="I35" s="27">
        <v>422834178</v>
      </c>
      <c r="J35" s="27">
        <v>17251446</v>
      </c>
      <c r="K35" s="27">
        <v>26707287</v>
      </c>
      <c r="L35" s="41">
        <v>0.93440000000000001</v>
      </c>
      <c r="M35" s="41">
        <v>2.7300000000000001E-2</v>
      </c>
      <c r="N35" s="41">
        <v>1.9E-2</v>
      </c>
      <c r="O35" s="41">
        <v>1.2800000000000001E-2</v>
      </c>
      <c r="P35" s="41">
        <v>6.6E-3</v>
      </c>
      <c r="Q35" s="27">
        <v>4480128313</v>
      </c>
      <c r="R35" s="27">
        <v>2744686468</v>
      </c>
      <c r="S35" s="27">
        <v>16</v>
      </c>
      <c r="T35" s="27">
        <v>41017566</v>
      </c>
      <c r="U35" s="26">
        <v>0.38600000000000001</v>
      </c>
      <c r="V35" s="26">
        <v>0.36770000000000003</v>
      </c>
      <c r="W35" s="26">
        <v>0.24629999999999999</v>
      </c>
    </row>
    <row r="36" spans="1:23" x14ac:dyDescent="0.35">
      <c r="A36" s="40">
        <v>45269</v>
      </c>
      <c r="B36" s="27">
        <v>10162351988</v>
      </c>
      <c r="C36" s="27">
        <v>10666860169</v>
      </c>
      <c r="D36" s="41">
        <v>1.9900000000000001E-2</v>
      </c>
      <c r="E36" s="41">
        <v>0.24249999999999999</v>
      </c>
      <c r="F36" s="41">
        <v>4.7300000000000002E-2</v>
      </c>
      <c r="G36" s="41">
        <v>1.1388</v>
      </c>
      <c r="H36" s="27">
        <v>50704407</v>
      </c>
      <c r="I36" s="27">
        <v>474319286</v>
      </c>
      <c r="J36" s="27">
        <v>40123987</v>
      </c>
      <c r="K36" s="27">
        <v>22664333</v>
      </c>
      <c r="L36" s="41">
        <v>0.93479999999999996</v>
      </c>
      <c r="M36" s="41">
        <v>2.5600000000000001E-2</v>
      </c>
      <c r="N36" s="41">
        <v>2.06E-2</v>
      </c>
      <c r="O36" s="41">
        <v>1.29E-2</v>
      </c>
      <c r="P36" s="41">
        <v>6.1000000000000004E-3</v>
      </c>
      <c r="Q36" s="27">
        <v>5198125827</v>
      </c>
      <c r="R36" s="27">
        <v>2890536745</v>
      </c>
      <c r="S36" s="27">
        <v>16</v>
      </c>
      <c r="T36" s="27">
        <v>33362594</v>
      </c>
      <c r="U36" s="26">
        <v>0.39329999999999998</v>
      </c>
      <c r="V36" s="26">
        <v>0.35849999999999999</v>
      </c>
      <c r="W36" s="26">
        <v>0.2482</v>
      </c>
    </row>
    <row r="37" spans="1:23" x14ac:dyDescent="0.35">
      <c r="A37" s="40">
        <v>45276</v>
      </c>
      <c r="B37" s="27">
        <v>9645864927</v>
      </c>
      <c r="C37" s="27">
        <v>10135841705</v>
      </c>
      <c r="D37" s="41">
        <v>2.0899999999999998E-2</v>
      </c>
      <c r="E37" s="41">
        <v>0.18740000000000001</v>
      </c>
      <c r="F37" s="41">
        <v>3.5099999999999999E-2</v>
      </c>
      <c r="G37" s="41">
        <v>1.1444000000000001</v>
      </c>
      <c r="H37" s="27">
        <v>49157670</v>
      </c>
      <c r="I37" s="27">
        <v>276279239</v>
      </c>
      <c r="J37" s="27">
        <v>21553359</v>
      </c>
      <c r="K37" s="27">
        <v>27579671</v>
      </c>
      <c r="L37" s="41">
        <v>0.9274</v>
      </c>
      <c r="M37" s="41">
        <v>3.1800000000000002E-2</v>
      </c>
      <c r="N37" s="41">
        <v>2.1899999999999999E-2</v>
      </c>
      <c r="O37" s="41">
        <v>1.3100000000000001E-2</v>
      </c>
      <c r="P37" s="41">
        <v>5.7000000000000002E-3</v>
      </c>
      <c r="Q37" s="27">
        <v>5470301549</v>
      </c>
      <c r="R37" s="27">
        <v>2949222542</v>
      </c>
      <c r="S37" s="27">
        <v>35</v>
      </c>
      <c r="T37" s="27">
        <v>76367261</v>
      </c>
      <c r="U37" s="26">
        <v>0.41210000000000002</v>
      </c>
      <c r="V37" s="26">
        <v>0.39589999999999997</v>
      </c>
      <c r="W37" s="26">
        <v>0.192</v>
      </c>
    </row>
    <row r="38" spans="1:23" x14ac:dyDescent="0.35">
      <c r="A38" s="40">
        <v>45283</v>
      </c>
      <c r="B38" s="27">
        <v>9983863211</v>
      </c>
      <c r="C38" s="27">
        <v>10638904040</v>
      </c>
      <c r="D38" s="41">
        <v>2.1999999999999999E-2</v>
      </c>
      <c r="E38" s="41">
        <v>0.2021</v>
      </c>
      <c r="F38" s="41">
        <v>3.8800000000000001E-2</v>
      </c>
      <c r="G38" s="41">
        <v>1.1716</v>
      </c>
      <c r="H38" s="27">
        <v>49256259</v>
      </c>
      <c r="I38" s="27">
        <v>317983890</v>
      </c>
      <c r="J38" s="27">
        <v>28360739</v>
      </c>
      <c r="K38" s="27">
        <v>28243009</v>
      </c>
      <c r="L38" s="41">
        <v>0.93930000000000002</v>
      </c>
      <c r="M38" s="41">
        <v>2.2800000000000001E-2</v>
      </c>
      <c r="N38" s="41">
        <v>2.1299999999999999E-2</v>
      </c>
      <c r="O38" s="41">
        <v>9.4999999999999998E-3</v>
      </c>
      <c r="P38" s="41">
        <v>7.1000000000000004E-3</v>
      </c>
      <c r="Q38" s="27">
        <v>5722309877</v>
      </c>
      <c r="R38" s="27">
        <v>3595095015</v>
      </c>
      <c r="S38" s="27">
        <v>21</v>
      </c>
      <c r="T38" s="27">
        <v>34044684</v>
      </c>
      <c r="U38" s="26">
        <v>0.43859999999999999</v>
      </c>
      <c r="V38" s="26">
        <v>0.30759999999999998</v>
      </c>
      <c r="W38" s="26">
        <v>0.25369999999999998</v>
      </c>
    </row>
    <row r="39" spans="1:23" x14ac:dyDescent="0.35">
      <c r="A39" s="40">
        <v>45290</v>
      </c>
      <c r="B39" s="27">
        <v>9666097279</v>
      </c>
      <c r="C39" s="27">
        <v>10395568266</v>
      </c>
      <c r="D39" s="41">
        <v>2.2800000000000001E-2</v>
      </c>
      <c r="E39" s="41">
        <v>0.24610000000000001</v>
      </c>
      <c r="F39" s="41">
        <v>4.5100000000000001E-2</v>
      </c>
      <c r="G39" s="41">
        <v>1.1407</v>
      </c>
      <c r="H39" s="27">
        <v>60762164</v>
      </c>
      <c r="I39" s="27">
        <v>359934829</v>
      </c>
      <c r="J39" s="27">
        <v>41332579</v>
      </c>
      <c r="K39" s="27">
        <v>20942899</v>
      </c>
      <c r="L39" s="41">
        <v>0.93510000000000004</v>
      </c>
      <c r="M39" s="41">
        <v>2.2499999999999999E-2</v>
      </c>
      <c r="N39" s="41">
        <v>2.12E-2</v>
      </c>
      <c r="O39" s="41">
        <v>1.2999999999999999E-2</v>
      </c>
      <c r="P39" s="41">
        <v>8.2000000000000007E-3</v>
      </c>
      <c r="Q39" s="27">
        <v>4401920329</v>
      </c>
      <c r="R39" s="27">
        <v>2806430960</v>
      </c>
      <c r="S39" s="27">
        <v>35</v>
      </c>
      <c r="T39" s="27">
        <v>66163822</v>
      </c>
      <c r="U39" s="26">
        <v>0.3921</v>
      </c>
      <c r="V39" s="26">
        <v>0.38750000000000001</v>
      </c>
      <c r="W39" s="26">
        <v>0.22040000000000001</v>
      </c>
    </row>
    <row r="40" spans="1:23" x14ac:dyDescent="0.35">
      <c r="A40" s="40">
        <v>45297</v>
      </c>
      <c r="B40" s="27">
        <v>10197162575</v>
      </c>
      <c r="C40" s="27">
        <v>10790213543</v>
      </c>
      <c r="D40" s="41">
        <v>2.3900000000000001E-2</v>
      </c>
      <c r="E40" s="41">
        <v>0.24060000000000001</v>
      </c>
      <c r="F40" s="41">
        <v>5.4199999999999998E-2</v>
      </c>
      <c r="G40" s="41">
        <v>1.1568000000000001</v>
      </c>
      <c r="H40" s="27">
        <v>52049409</v>
      </c>
      <c r="I40" s="27">
        <v>355389281</v>
      </c>
      <c r="J40" s="27">
        <v>15820521</v>
      </c>
      <c r="K40" s="27">
        <v>8488049</v>
      </c>
      <c r="L40" s="41">
        <v>0.92710000000000004</v>
      </c>
      <c r="M40" s="41">
        <v>2.92E-2</v>
      </c>
      <c r="N40" s="41">
        <v>2.41E-2</v>
      </c>
      <c r="O40" s="41">
        <v>1.24E-2</v>
      </c>
      <c r="P40" s="41">
        <v>7.1999999999999998E-3</v>
      </c>
      <c r="Q40" s="27">
        <v>4905169110</v>
      </c>
      <c r="R40" s="27">
        <v>3144650634</v>
      </c>
      <c r="S40" s="27">
        <v>31</v>
      </c>
      <c r="T40" s="27">
        <v>63768335</v>
      </c>
      <c r="U40" s="26">
        <v>0.42009999999999997</v>
      </c>
      <c r="V40" s="26">
        <v>0.32629999999999998</v>
      </c>
      <c r="W40" s="26">
        <v>0.25359999999999999</v>
      </c>
    </row>
    <row r="41" spans="1:23" x14ac:dyDescent="0.35">
      <c r="A41" s="40">
        <v>45304</v>
      </c>
      <c r="B41" s="27">
        <v>9240574944</v>
      </c>
      <c r="C41" s="27">
        <v>9890980733</v>
      </c>
      <c r="D41" s="41">
        <v>2.18E-2</v>
      </c>
      <c r="E41" s="41">
        <v>0.23050000000000001</v>
      </c>
      <c r="F41" s="41">
        <v>4.4699999999999997E-2</v>
      </c>
      <c r="G41" s="41">
        <v>1.1795</v>
      </c>
      <c r="H41" s="27">
        <v>44366882</v>
      </c>
      <c r="I41" s="27">
        <v>206699821</v>
      </c>
      <c r="J41" s="27">
        <v>21846538</v>
      </c>
      <c r="K41" s="27">
        <v>14506347</v>
      </c>
      <c r="L41" s="41">
        <v>0.93389999999999995</v>
      </c>
      <c r="M41" s="41">
        <v>2.53E-2</v>
      </c>
      <c r="N41" s="41">
        <v>2.1899999999999999E-2</v>
      </c>
      <c r="O41" s="41">
        <v>1.0699999999999999E-2</v>
      </c>
      <c r="P41" s="41">
        <v>8.2000000000000007E-3</v>
      </c>
      <c r="Q41" s="27">
        <v>5780490374</v>
      </c>
      <c r="R41" s="27">
        <v>3021074841</v>
      </c>
      <c r="S41" s="27">
        <v>33</v>
      </c>
      <c r="T41" s="27">
        <v>67105405</v>
      </c>
      <c r="U41" s="26">
        <v>0.39500000000000002</v>
      </c>
      <c r="V41" s="26">
        <v>0.31669999999999998</v>
      </c>
      <c r="W41" s="26">
        <v>0.28820000000000001</v>
      </c>
    </row>
    <row r="42" spans="1:23" x14ac:dyDescent="0.35">
      <c r="A42" s="40">
        <v>45311</v>
      </c>
      <c r="B42" s="27">
        <v>10226748952</v>
      </c>
      <c r="C42" s="27">
        <v>10635399550</v>
      </c>
      <c r="D42" s="41">
        <v>2.47E-2</v>
      </c>
      <c r="E42" s="41">
        <v>0.1875</v>
      </c>
      <c r="F42" s="41">
        <v>4.7199999999999999E-2</v>
      </c>
      <c r="G42" s="41">
        <v>1.1403000000000001</v>
      </c>
      <c r="H42" s="27">
        <v>50827459</v>
      </c>
      <c r="I42" s="27">
        <v>486424864</v>
      </c>
      <c r="J42" s="27">
        <v>43086457</v>
      </c>
      <c r="K42" s="27">
        <v>9758343</v>
      </c>
      <c r="L42" s="41">
        <v>0.93079999999999996</v>
      </c>
      <c r="M42" s="41">
        <v>3.0099999999999998E-2</v>
      </c>
      <c r="N42" s="41">
        <v>2.0899999999999998E-2</v>
      </c>
      <c r="O42" s="41">
        <v>0.01</v>
      </c>
      <c r="P42" s="41">
        <v>8.3000000000000001E-3</v>
      </c>
      <c r="Q42" s="27">
        <v>4878100934</v>
      </c>
      <c r="R42" s="27">
        <v>2546784942</v>
      </c>
      <c r="S42" s="27">
        <v>16</v>
      </c>
      <c r="T42" s="27">
        <v>41309636</v>
      </c>
      <c r="U42" s="26">
        <v>0.37180000000000002</v>
      </c>
      <c r="V42" s="26">
        <v>0.31130000000000002</v>
      </c>
      <c r="W42" s="26">
        <v>0.31690000000000002</v>
      </c>
    </row>
    <row r="43" spans="1:23" x14ac:dyDescent="0.35">
      <c r="A43" s="40">
        <v>45318</v>
      </c>
      <c r="B43" s="27">
        <v>9520123596</v>
      </c>
      <c r="C43" s="27">
        <v>9966385516</v>
      </c>
      <c r="D43" s="41">
        <v>2.18E-2</v>
      </c>
      <c r="E43" s="41">
        <v>0.25990000000000002</v>
      </c>
      <c r="F43" s="41">
        <v>4.1799999999999997E-2</v>
      </c>
      <c r="G43" s="41">
        <v>1.1480999999999999</v>
      </c>
      <c r="H43" s="27">
        <v>49453100</v>
      </c>
      <c r="I43" s="27">
        <v>497012047</v>
      </c>
      <c r="J43" s="27">
        <v>24739623</v>
      </c>
      <c r="K43" s="27">
        <v>16151585</v>
      </c>
      <c r="L43" s="41">
        <v>0.93010000000000004</v>
      </c>
      <c r="M43" s="41">
        <v>2.69E-2</v>
      </c>
      <c r="N43" s="41">
        <v>2.2200000000000001E-2</v>
      </c>
      <c r="O43" s="41">
        <v>1.21E-2</v>
      </c>
      <c r="P43" s="41">
        <v>8.6999999999999994E-3</v>
      </c>
      <c r="Q43" s="27">
        <v>4742285018</v>
      </c>
      <c r="R43" s="27">
        <v>2860269582</v>
      </c>
      <c r="S43" s="27">
        <v>23</v>
      </c>
      <c r="T43" s="27">
        <v>40848314</v>
      </c>
      <c r="U43" s="26">
        <v>0.3952</v>
      </c>
      <c r="V43" s="26">
        <v>0.39600000000000002</v>
      </c>
      <c r="W43" s="26">
        <v>0.20880000000000001</v>
      </c>
    </row>
    <row r="44" spans="1:23" x14ac:dyDescent="0.35">
      <c r="A44" s="40">
        <v>45325</v>
      </c>
      <c r="B44" s="27">
        <v>9616525300</v>
      </c>
      <c r="C44" s="27">
        <v>10255987490</v>
      </c>
      <c r="D44" s="41">
        <v>2.2200000000000001E-2</v>
      </c>
      <c r="E44" s="41">
        <v>0.2359</v>
      </c>
      <c r="F44" s="41">
        <v>3.1399999999999997E-2</v>
      </c>
      <c r="G44" s="41">
        <v>1.1612</v>
      </c>
      <c r="H44" s="27">
        <v>56525567</v>
      </c>
      <c r="I44" s="27">
        <v>165218703</v>
      </c>
      <c r="J44" s="27">
        <v>20109589</v>
      </c>
      <c r="K44" s="27">
        <v>13520406</v>
      </c>
      <c r="L44" s="41">
        <v>0.93379999999999996</v>
      </c>
      <c r="M44" s="41">
        <v>2.92E-2</v>
      </c>
      <c r="N44" s="41">
        <v>1.8100000000000002E-2</v>
      </c>
      <c r="O44" s="41">
        <v>1.2500000000000001E-2</v>
      </c>
      <c r="P44" s="41">
        <v>6.4999999999999997E-3</v>
      </c>
      <c r="Q44" s="27">
        <v>5021832236</v>
      </c>
      <c r="R44" s="27">
        <v>2532319548</v>
      </c>
      <c r="S44" s="27">
        <v>26</v>
      </c>
      <c r="T44" s="27">
        <v>67154143</v>
      </c>
      <c r="U44" s="26">
        <v>0.35189999999999999</v>
      </c>
      <c r="V44" s="26">
        <v>0.38669999999999999</v>
      </c>
      <c r="W44" s="26">
        <v>0.26140000000000002</v>
      </c>
    </row>
    <row r="45" spans="1:23" x14ac:dyDescent="0.35">
      <c r="A45" s="40">
        <v>45332</v>
      </c>
      <c r="B45" s="27">
        <v>9974851548</v>
      </c>
      <c r="C45" s="27">
        <v>10533766964</v>
      </c>
      <c r="D45" s="41">
        <v>2.46E-2</v>
      </c>
      <c r="E45" s="41">
        <v>0.2462</v>
      </c>
      <c r="F45" s="41">
        <v>3.2199999999999999E-2</v>
      </c>
      <c r="G45" s="41">
        <v>1.1852</v>
      </c>
      <c r="H45" s="27">
        <v>53734053</v>
      </c>
      <c r="I45" s="27">
        <v>288463919</v>
      </c>
      <c r="J45" s="27">
        <v>37055102</v>
      </c>
      <c r="K45" s="27">
        <v>119039066</v>
      </c>
      <c r="L45" s="41">
        <v>0.93220000000000003</v>
      </c>
      <c r="M45" s="41">
        <v>2.9899999999999999E-2</v>
      </c>
      <c r="N45" s="41">
        <v>1.84E-2</v>
      </c>
      <c r="O45" s="41">
        <v>1.11E-2</v>
      </c>
      <c r="P45" s="41">
        <v>8.3000000000000001E-3</v>
      </c>
      <c r="Q45" s="27">
        <v>4887286637</v>
      </c>
      <c r="R45" s="27">
        <v>3008243205</v>
      </c>
      <c r="S45" s="27">
        <v>29</v>
      </c>
      <c r="T45" s="27">
        <v>42524978</v>
      </c>
      <c r="U45" s="26">
        <v>0.37940000000000002</v>
      </c>
      <c r="V45" s="26">
        <v>0.39190000000000003</v>
      </c>
      <c r="W45" s="26">
        <v>0.22869999999999999</v>
      </c>
    </row>
    <row r="46" spans="1:23" x14ac:dyDescent="0.35">
      <c r="A46" s="40">
        <v>45339</v>
      </c>
      <c r="B46" s="27">
        <v>9321283484</v>
      </c>
      <c r="C46" s="27">
        <v>9736308068</v>
      </c>
      <c r="D46" s="41">
        <v>2.3599999999999999E-2</v>
      </c>
      <c r="E46" s="41">
        <v>0.1895</v>
      </c>
      <c r="F46" s="41">
        <v>4.2999999999999997E-2</v>
      </c>
      <c r="G46" s="41">
        <v>1.1725000000000001</v>
      </c>
      <c r="H46" s="27">
        <v>58214368</v>
      </c>
      <c r="I46" s="27">
        <v>222565793</v>
      </c>
      <c r="J46" s="27">
        <v>33459240</v>
      </c>
      <c r="K46" s="27">
        <v>17438963</v>
      </c>
      <c r="L46" s="41">
        <v>0.92769999999999997</v>
      </c>
      <c r="M46" s="41">
        <v>2.75E-2</v>
      </c>
      <c r="N46" s="41">
        <v>2.3900000000000001E-2</v>
      </c>
      <c r="O46" s="41">
        <v>1.11E-2</v>
      </c>
      <c r="P46" s="41">
        <v>9.7000000000000003E-3</v>
      </c>
      <c r="Q46" s="27">
        <v>5504027298</v>
      </c>
      <c r="R46" s="27">
        <v>2756876482</v>
      </c>
      <c r="S46" s="27">
        <v>17</v>
      </c>
      <c r="T46" s="27">
        <v>28771413</v>
      </c>
      <c r="U46" s="26">
        <v>0.4007</v>
      </c>
      <c r="V46" s="26">
        <v>0.33239999999999997</v>
      </c>
      <c r="W46" s="26">
        <v>0.26690000000000003</v>
      </c>
    </row>
    <row r="47" spans="1:23" x14ac:dyDescent="0.35">
      <c r="A47" s="40">
        <v>45346</v>
      </c>
      <c r="B47" s="27">
        <v>9885026844</v>
      </c>
      <c r="C47" s="27">
        <v>10513156178</v>
      </c>
      <c r="D47" s="41">
        <v>2.6100000000000002E-2</v>
      </c>
      <c r="E47" s="41">
        <v>0.25790000000000002</v>
      </c>
      <c r="F47" s="41">
        <v>5.04E-2</v>
      </c>
      <c r="G47" s="41">
        <v>1.1518999999999999</v>
      </c>
      <c r="H47" s="27">
        <v>46205906</v>
      </c>
      <c r="I47" s="27">
        <v>434497856</v>
      </c>
      <c r="J47" s="27">
        <v>42590671</v>
      </c>
      <c r="K47" s="27">
        <v>19048277</v>
      </c>
      <c r="L47" s="41">
        <v>0.92630000000000001</v>
      </c>
      <c r="M47" s="41">
        <v>3.0800000000000001E-2</v>
      </c>
      <c r="N47" s="41">
        <v>2.3E-2</v>
      </c>
      <c r="O47" s="41">
        <v>1.21E-2</v>
      </c>
      <c r="P47" s="41">
        <v>7.7999999999999996E-3</v>
      </c>
      <c r="Q47" s="27">
        <v>4758071126</v>
      </c>
      <c r="R47" s="27">
        <v>2960563473</v>
      </c>
      <c r="S47" s="27">
        <v>34</v>
      </c>
      <c r="T47" s="27">
        <v>54838070</v>
      </c>
      <c r="U47" s="26">
        <v>0.38629999999999998</v>
      </c>
      <c r="V47" s="26">
        <v>0.31830000000000003</v>
      </c>
      <c r="W47" s="26">
        <v>0.29530000000000001</v>
      </c>
    </row>
    <row r="48" spans="1:23" x14ac:dyDescent="0.35">
      <c r="A48" s="40">
        <v>45353</v>
      </c>
      <c r="B48" s="27">
        <v>9632742549</v>
      </c>
      <c r="C48" s="27">
        <v>10273759846</v>
      </c>
      <c r="D48" s="41">
        <v>2.7699999999999999E-2</v>
      </c>
      <c r="E48" s="41">
        <v>0.20150000000000001</v>
      </c>
      <c r="F48" s="41">
        <v>5.4899999999999997E-2</v>
      </c>
      <c r="G48" s="41">
        <v>1.1577</v>
      </c>
      <c r="H48" s="27">
        <v>44344238</v>
      </c>
      <c r="I48" s="27">
        <v>163252761</v>
      </c>
      <c r="J48" s="27">
        <v>29498044</v>
      </c>
      <c r="K48" s="27">
        <v>16057358</v>
      </c>
      <c r="L48" s="41">
        <v>0.92490000000000006</v>
      </c>
      <c r="M48" s="41">
        <v>3.3799999999999997E-2</v>
      </c>
      <c r="N48" s="41">
        <v>1.89E-2</v>
      </c>
      <c r="O48" s="41">
        <v>1.3299999999999999E-2</v>
      </c>
      <c r="P48" s="41">
        <v>9.1000000000000004E-3</v>
      </c>
      <c r="Q48" s="27">
        <v>5774961054</v>
      </c>
      <c r="R48" s="27">
        <v>3465649079</v>
      </c>
      <c r="S48" s="27">
        <v>23</v>
      </c>
      <c r="T48" s="27">
        <v>44709657</v>
      </c>
      <c r="U48" s="26">
        <v>0.35780000000000001</v>
      </c>
      <c r="V48" s="26">
        <v>0.38900000000000001</v>
      </c>
      <c r="W48" s="26">
        <v>0.25319999999999998</v>
      </c>
    </row>
    <row r="49" spans="1:23" x14ac:dyDescent="0.35">
      <c r="A49" s="40">
        <v>45360</v>
      </c>
      <c r="B49" s="27">
        <v>10049851148</v>
      </c>
      <c r="C49" s="27">
        <v>10416624110</v>
      </c>
      <c r="D49" s="41">
        <v>2.7900000000000001E-2</v>
      </c>
      <c r="E49" s="41">
        <v>0.252</v>
      </c>
      <c r="F49" s="41">
        <v>4.6100000000000002E-2</v>
      </c>
      <c r="G49" s="41">
        <v>1.1803999999999999</v>
      </c>
      <c r="H49" s="27">
        <v>61700033</v>
      </c>
      <c r="I49" s="27">
        <v>393478772</v>
      </c>
      <c r="J49" s="27">
        <v>22600072</v>
      </c>
      <c r="K49" s="27">
        <v>19008667</v>
      </c>
      <c r="L49" s="41">
        <v>0.92579999999999996</v>
      </c>
      <c r="M49" s="41">
        <v>3.0099999999999998E-2</v>
      </c>
      <c r="N49" s="41">
        <v>2.4199999999999999E-2</v>
      </c>
      <c r="O49" s="41">
        <v>1.12E-2</v>
      </c>
      <c r="P49" s="41">
        <v>8.6999999999999994E-3</v>
      </c>
      <c r="Q49" s="27">
        <v>5845426389</v>
      </c>
      <c r="R49" s="27">
        <v>3530497844</v>
      </c>
      <c r="S49" s="27">
        <v>25</v>
      </c>
      <c r="T49" s="27">
        <v>40293464</v>
      </c>
      <c r="U49" s="26">
        <v>0.42809999999999998</v>
      </c>
      <c r="V49" s="26">
        <v>0.32769999999999999</v>
      </c>
      <c r="W49" s="26">
        <v>0.2442</v>
      </c>
    </row>
    <row r="50" spans="1:23" x14ac:dyDescent="0.35">
      <c r="A50" s="40">
        <v>45367</v>
      </c>
      <c r="B50" s="27">
        <v>9940969318</v>
      </c>
      <c r="C50" s="27">
        <v>10533990512</v>
      </c>
      <c r="D50" s="41">
        <v>2.6499999999999999E-2</v>
      </c>
      <c r="E50" s="41">
        <v>0.18970000000000001</v>
      </c>
      <c r="F50" s="41">
        <v>3.56E-2</v>
      </c>
      <c r="G50" s="41">
        <v>1.1465000000000001</v>
      </c>
      <c r="H50" s="27">
        <v>57810916</v>
      </c>
      <c r="I50" s="27">
        <v>343692705</v>
      </c>
      <c r="J50" s="27">
        <v>28159836</v>
      </c>
      <c r="K50" s="27">
        <v>32770266</v>
      </c>
      <c r="L50" s="41">
        <v>0.9254</v>
      </c>
      <c r="M50" s="41">
        <v>2.5700000000000001E-2</v>
      </c>
      <c r="N50" s="41">
        <v>2.4899999999999999E-2</v>
      </c>
      <c r="O50" s="41">
        <v>1.3299999999999999E-2</v>
      </c>
      <c r="P50" s="41">
        <v>1.0699999999999999E-2</v>
      </c>
      <c r="Q50" s="27">
        <v>4425008522</v>
      </c>
      <c r="R50" s="27">
        <v>2422220880</v>
      </c>
      <c r="S50" s="27">
        <v>15</v>
      </c>
      <c r="T50" s="27">
        <v>18173376</v>
      </c>
      <c r="U50" s="26">
        <v>0.44259999999999999</v>
      </c>
      <c r="V50" s="26">
        <v>0.37069999999999997</v>
      </c>
      <c r="W50" s="26">
        <v>0.1867</v>
      </c>
    </row>
    <row r="51" spans="1:23" x14ac:dyDescent="0.35">
      <c r="A51" s="40">
        <v>45374</v>
      </c>
      <c r="B51" s="27">
        <v>9901985855</v>
      </c>
      <c r="C51" s="27">
        <v>10669357031</v>
      </c>
      <c r="D51" s="41">
        <v>2.58E-2</v>
      </c>
      <c r="E51" s="41">
        <v>0.20369999999999999</v>
      </c>
      <c r="F51" s="41">
        <v>4.8500000000000001E-2</v>
      </c>
      <c r="G51" s="41">
        <v>1.1263000000000001</v>
      </c>
      <c r="H51" s="27">
        <v>53585659</v>
      </c>
      <c r="I51" s="27">
        <v>256692811</v>
      </c>
      <c r="J51" s="27">
        <v>36099135</v>
      </c>
      <c r="K51" s="27">
        <v>30737663</v>
      </c>
      <c r="L51" s="41">
        <v>0.92920000000000003</v>
      </c>
      <c r="M51" s="41">
        <v>2.4299999999999999E-2</v>
      </c>
      <c r="N51" s="41">
        <v>2.18E-2</v>
      </c>
      <c r="O51" s="41">
        <v>1.37E-2</v>
      </c>
      <c r="P51" s="41">
        <v>1.09E-2</v>
      </c>
      <c r="Q51" s="27">
        <v>5048576596</v>
      </c>
      <c r="R51" s="27">
        <v>3069391910</v>
      </c>
      <c r="S51" s="27">
        <v>26</v>
      </c>
      <c r="T51" s="27">
        <v>57275336</v>
      </c>
      <c r="U51" s="26">
        <v>0.4204</v>
      </c>
      <c r="V51" s="26">
        <v>0.30009999999999998</v>
      </c>
      <c r="W51" s="26">
        <v>0.27950000000000003</v>
      </c>
    </row>
    <row r="52" spans="1:23" x14ac:dyDescent="0.35">
      <c r="A52" s="40">
        <v>45381</v>
      </c>
      <c r="B52" s="27">
        <v>9196313684</v>
      </c>
      <c r="C52" s="27">
        <v>9483664095</v>
      </c>
      <c r="D52" s="41">
        <v>3.1199999999999999E-2</v>
      </c>
      <c r="E52" s="41">
        <v>0.24149999999999999</v>
      </c>
      <c r="F52" s="41">
        <v>5.62E-2</v>
      </c>
      <c r="G52" s="41">
        <v>1.1758</v>
      </c>
      <c r="H52" s="27">
        <v>47216065</v>
      </c>
      <c r="I52" s="27">
        <v>489552557</v>
      </c>
      <c r="J52" s="27">
        <v>31384368</v>
      </c>
      <c r="K52" s="27">
        <v>20222271</v>
      </c>
      <c r="L52" s="41">
        <v>0.92259999999999998</v>
      </c>
      <c r="M52" s="41">
        <v>2.7400000000000001E-2</v>
      </c>
      <c r="N52" s="41">
        <v>2.4799999999999999E-2</v>
      </c>
      <c r="O52" s="41">
        <v>1.47E-2</v>
      </c>
      <c r="P52" s="41">
        <v>1.0500000000000001E-2</v>
      </c>
      <c r="Q52" s="27">
        <v>5990505178</v>
      </c>
      <c r="R52" s="27">
        <v>3494726212</v>
      </c>
      <c r="S52" s="27">
        <v>33</v>
      </c>
      <c r="T52" s="27">
        <v>78067112</v>
      </c>
      <c r="U52" s="26">
        <v>0.44219999999999998</v>
      </c>
      <c r="V52" s="26">
        <v>0.33389999999999997</v>
      </c>
      <c r="W52" s="26">
        <v>0.22389999999999999</v>
      </c>
    </row>
    <row r="53" spans="1:23" x14ac:dyDescent="0.35">
      <c r="A53" s="40">
        <v>45388</v>
      </c>
      <c r="B53" s="27">
        <v>9672337243</v>
      </c>
      <c r="C53" s="27">
        <v>10132561252</v>
      </c>
      <c r="D53" s="41">
        <v>2.7E-2</v>
      </c>
      <c r="E53" s="41">
        <v>0.191</v>
      </c>
      <c r="F53" s="41">
        <v>3.9699999999999999E-2</v>
      </c>
      <c r="G53" s="41">
        <v>1.1659999999999999</v>
      </c>
      <c r="H53" s="27">
        <v>52439890</v>
      </c>
      <c r="I53" s="27">
        <v>472317582</v>
      </c>
      <c r="J53" s="27">
        <v>19890874</v>
      </c>
      <c r="K53" s="27">
        <v>11536286</v>
      </c>
      <c r="L53" s="41">
        <v>0.91869999999999996</v>
      </c>
      <c r="M53" s="41">
        <v>3.3500000000000002E-2</v>
      </c>
      <c r="N53" s="41">
        <v>2.4400000000000002E-2</v>
      </c>
      <c r="O53" s="41">
        <v>1.3100000000000001E-2</v>
      </c>
      <c r="P53" s="41">
        <v>1.04E-2</v>
      </c>
      <c r="Q53" s="27">
        <v>5923992342</v>
      </c>
      <c r="R53" s="27">
        <v>3668218698</v>
      </c>
      <c r="S53" s="27">
        <v>32</v>
      </c>
      <c r="T53" s="27">
        <v>74355962</v>
      </c>
      <c r="U53" s="26">
        <v>0.43030000000000002</v>
      </c>
      <c r="V53" s="26">
        <v>0.3417</v>
      </c>
      <c r="W53" s="26">
        <v>0.22800000000000001</v>
      </c>
    </row>
    <row r="54" spans="1:23" x14ac:dyDescent="0.35">
      <c r="A54" s="40">
        <v>45395</v>
      </c>
      <c r="B54" s="27">
        <v>10140541644</v>
      </c>
      <c r="C54" s="27">
        <v>10625308872</v>
      </c>
      <c r="D54" s="41">
        <v>3.0599999999999999E-2</v>
      </c>
      <c r="E54" s="41">
        <v>0.25600000000000001</v>
      </c>
      <c r="F54" s="41">
        <v>5.7599999999999998E-2</v>
      </c>
      <c r="G54" s="41">
        <v>1.1492</v>
      </c>
      <c r="H54" s="27">
        <v>47252482</v>
      </c>
      <c r="I54" s="27">
        <v>309122160</v>
      </c>
      <c r="J54" s="27">
        <v>18665702</v>
      </c>
      <c r="K54" s="27">
        <v>19680241</v>
      </c>
      <c r="L54" s="41">
        <v>0.91930000000000001</v>
      </c>
      <c r="M54" s="41">
        <v>3.5400000000000001E-2</v>
      </c>
      <c r="N54" s="41">
        <v>1.9800000000000002E-2</v>
      </c>
      <c r="O54" s="41">
        <v>1.41E-2</v>
      </c>
      <c r="P54" s="41">
        <v>1.1299999999999999E-2</v>
      </c>
      <c r="Q54" s="27">
        <v>5197015854</v>
      </c>
      <c r="R54" s="27">
        <v>2366460013</v>
      </c>
      <c r="S54" s="27">
        <v>20</v>
      </c>
      <c r="T54" s="27">
        <v>36244255</v>
      </c>
      <c r="U54" s="26">
        <v>0.41789999999999999</v>
      </c>
      <c r="V54" s="26">
        <v>0.31530000000000002</v>
      </c>
      <c r="W54" s="26">
        <v>0.26679999999999998</v>
      </c>
    </row>
    <row r="55" spans="1:23" x14ac:dyDescent="0.35">
      <c r="A55" s="40">
        <v>45402</v>
      </c>
      <c r="B55" s="27">
        <v>9303801429</v>
      </c>
      <c r="C55" s="27">
        <v>10030482783</v>
      </c>
      <c r="D55" s="41">
        <v>3.1600000000000003E-2</v>
      </c>
      <c r="E55" s="41">
        <v>0.21740000000000001</v>
      </c>
      <c r="F55" s="41">
        <v>5.6500000000000002E-2</v>
      </c>
      <c r="G55" s="41">
        <v>1.1496999999999999</v>
      </c>
      <c r="H55" s="27">
        <v>56698446</v>
      </c>
      <c r="I55" s="27">
        <v>419191708</v>
      </c>
      <c r="J55" s="27">
        <v>28011735</v>
      </c>
      <c r="K55" s="27">
        <v>21983493</v>
      </c>
      <c r="L55" s="41">
        <v>0.9274</v>
      </c>
      <c r="M55" s="41">
        <v>3.0700000000000002E-2</v>
      </c>
      <c r="N55" s="41">
        <v>2.1999999999999999E-2</v>
      </c>
      <c r="O55" s="41">
        <v>1.15E-2</v>
      </c>
      <c r="P55" s="41">
        <v>8.3000000000000001E-3</v>
      </c>
      <c r="Q55" s="27">
        <v>5496490619</v>
      </c>
      <c r="R55" s="27">
        <v>2803513264</v>
      </c>
      <c r="S55" s="27">
        <v>28</v>
      </c>
      <c r="T55" s="27">
        <v>51979660</v>
      </c>
      <c r="U55" s="26">
        <v>0.436</v>
      </c>
      <c r="V55" s="26">
        <v>0.3911</v>
      </c>
      <c r="W55" s="26">
        <v>0.1729</v>
      </c>
    </row>
    <row r="56" spans="1:23" x14ac:dyDescent="0.35">
      <c r="A56" s="40">
        <v>45409</v>
      </c>
      <c r="B56" s="27">
        <v>9121199866</v>
      </c>
      <c r="C56" s="27">
        <v>9687440538</v>
      </c>
      <c r="D56" s="41">
        <v>3.15E-2</v>
      </c>
      <c r="E56" s="41">
        <v>0.24329999999999999</v>
      </c>
      <c r="F56" s="41">
        <v>3.6600000000000001E-2</v>
      </c>
      <c r="G56" s="41">
        <v>1.1411</v>
      </c>
      <c r="H56" s="27">
        <v>57080925</v>
      </c>
      <c r="I56" s="27">
        <v>259802631</v>
      </c>
      <c r="J56" s="27">
        <v>17466962</v>
      </c>
      <c r="K56" s="27">
        <v>9734673</v>
      </c>
      <c r="L56" s="41">
        <v>0.91400000000000003</v>
      </c>
      <c r="M56" s="41">
        <v>3.5499999999999997E-2</v>
      </c>
      <c r="N56" s="41">
        <v>2.5000000000000001E-2</v>
      </c>
      <c r="O56" s="41">
        <v>1.4200000000000001E-2</v>
      </c>
      <c r="P56" s="41">
        <v>1.1299999999999999E-2</v>
      </c>
      <c r="Q56" s="27">
        <v>5497205405</v>
      </c>
      <c r="R56" s="27">
        <v>3345205934</v>
      </c>
      <c r="S56" s="27">
        <v>25</v>
      </c>
      <c r="T56" s="27">
        <v>48059596</v>
      </c>
      <c r="U56" s="26">
        <v>0.43740000000000001</v>
      </c>
      <c r="V56" s="26">
        <v>0.31340000000000001</v>
      </c>
      <c r="W56" s="26">
        <v>0.24929999999999999</v>
      </c>
    </row>
    <row r="57" spans="1:23" x14ac:dyDescent="0.35">
      <c r="A57" s="40">
        <v>45416</v>
      </c>
      <c r="B57" s="27">
        <v>9614208457</v>
      </c>
      <c r="C57" s="27">
        <v>10139619445</v>
      </c>
      <c r="D57" s="41">
        <v>3.3300000000000003E-2</v>
      </c>
      <c r="E57" s="41">
        <v>0.24940000000000001</v>
      </c>
      <c r="F57" s="41">
        <v>3.6499999999999998E-2</v>
      </c>
      <c r="G57" s="41">
        <v>1.1218999999999999</v>
      </c>
      <c r="H57" s="27">
        <v>61983462</v>
      </c>
      <c r="I57" s="27">
        <v>213229237</v>
      </c>
      <c r="J57" s="27">
        <v>20048850</v>
      </c>
      <c r="K57" s="27">
        <v>20262133</v>
      </c>
      <c r="L57" s="41">
        <v>0.91490000000000005</v>
      </c>
      <c r="M57" s="41">
        <v>3.5400000000000001E-2</v>
      </c>
      <c r="N57" s="41">
        <v>2.3900000000000001E-2</v>
      </c>
      <c r="O57" s="41">
        <v>1.37E-2</v>
      </c>
      <c r="P57" s="41">
        <v>1.21E-2</v>
      </c>
      <c r="Q57" s="27">
        <v>5241624651</v>
      </c>
      <c r="R57" s="27">
        <v>2957102185</v>
      </c>
      <c r="S57" s="27">
        <v>28</v>
      </c>
      <c r="T57" s="27">
        <v>74834511</v>
      </c>
      <c r="U57" s="26">
        <v>0.37459999999999999</v>
      </c>
      <c r="V57" s="26">
        <v>0.3498</v>
      </c>
      <c r="W57" s="26">
        <v>0.27560000000000001</v>
      </c>
    </row>
    <row r="58" spans="1:23" x14ac:dyDescent="0.35">
      <c r="A58" s="40">
        <v>45423</v>
      </c>
      <c r="B58" s="27">
        <v>9762703751</v>
      </c>
      <c r="C58" s="27">
        <v>10392721431</v>
      </c>
      <c r="D58" s="41">
        <v>3.4500000000000003E-2</v>
      </c>
      <c r="E58" s="41">
        <v>0.23400000000000001</v>
      </c>
      <c r="F58" s="41">
        <v>5.3699999999999998E-2</v>
      </c>
      <c r="G58" s="41">
        <v>1.1207</v>
      </c>
      <c r="H58" s="27">
        <v>47427279</v>
      </c>
      <c r="I58" s="27">
        <v>216780729</v>
      </c>
      <c r="J58" s="27">
        <v>39479047</v>
      </c>
      <c r="K58" s="27">
        <v>25880973</v>
      </c>
      <c r="L58" s="41">
        <v>0.92820000000000003</v>
      </c>
      <c r="M58" s="41">
        <v>2.6599999999999999E-2</v>
      </c>
      <c r="N58" s="41">
        <v>2.3800000000000002E-2</v>
      </c>
      <c r="O58" s="41">
        <v>1.21E-2</v>
      </c>
      <c r="P58" s="41">
        <v>9.1999999999999998E-3</v>
      </c>
      <c r="Q58" s="27">
        <v>5747343536</v>
      </c>
      <c r="R58" s="27">
        <v>3572766403</v>
      </c>
      <c r="S58" s="27">
        <v>32</v>
      </c>
      <c r="T58" s="27">
        <v>48174820</v>
      </c>
      <c r="U58" s="26">
        <v>0.38009999999999999</v>
      </c>
      <c r="V58" s="26">
        <v>0.3463</v>
      </c>
      <c r="W58" s="26">
        <v>0.27360000000000001</v>
      </c>
    </row>
    <row r="59" spans="1:23" x14ac:dyDescent="0.35">
      <c r="A59" s="40">
        <v>45430</v>
      </c>
      <c r="B59" s="27">
        <v>9342874183</v>
      </c>
      <c r="C59" s="27">
        <v>10001147506</v>
      </c>
      <c r="D59" s="41">
        <v>3.1300000000000001E-2</v>
      </c>
      <c r="E59" s="41">
        <v>0.22040000000000001</v>
      </c>
      <c r="F59" s="41">
        <v>3.5999999999999997E-2</v>
      </c>
      <c r="G59" s="41">
        <v>1.1371</v>
      </c>
      <c r="H59" s="27">
        <v>59926904</v>
      </c>
      <c r="I59" s="27">
        <v>276225192</v>
      </c>
      <c r="J59" s="27">
        <v>34949858</v>
      </c>
      <c r="K59" s="27">
        <v>9548336</v>
      </c>
      <c r="L59" s="41">
        <v>0.92359999999999998</v>
      </c>
      <c r="M59" s="41">
        <v>3.0300000000000001E-2</v>
      </c>
      <c r="N59" s="41">
        <v>2.1600000000000001E-2</v>
      </c>
      <c r="O59" s="41">
        <v>1.47E-2</v>
      </c>
      <c r="P59" s="41">
        <v>9.7999999999999997E-3</v>
      </c>
      <c r="Q59" s="27">
        <v>5054894911</v>
      </c>
      <c r="R59" s="27">
        <v>2738492416</v>
      </c>
      <c r="S59" s="27">
        <v>31</v>
      </c>
      <c r="T59" s="27">
        <v>76612524</v>
      </c>
      <c r="U59" s="26">
        <v>0.38619999999999999</v>
      </c>
      <c r="V59" s="26">
        <v>0.30299999999999999</v>
      </c>
      <c r="W59" s="26">
        <v>0.31080000000000002</v>
      </c>
    </row>
    <row r="60" spans="1:23" x14ac:dyDescent="0.35">
      <c r="A60" s="40">
        <v>45437</v>
      </c>
      <c r="B60" s="27">
        <v>10137672047</v>
      </c>
      <c r="C60" s="27">
        <v>10746743492</v>
      </c>
      <c r="D60" s="41">
        <v>3.2199999999999999E-2</v>
      </c>
      <c r="E60" s="41">
        <v>0.18970000000000001</v>
      </c>
      <c r="F60" s="41">
        <v>4.8300000000000003E-2</v>
      </c>
      <c r="G60" s="41">
        <v>1.1164000000000001</v>
      </c>
      <c r="H60" s="27">
        <v>48001090</v>
      </c>
      <c r="I60" s="27">
        <v>280013574</v>
      </c>
      <c r="J60" s="27">
        <v>44730603</v>
      </c>
      <c r="K60" s="27">
        <v>14097802</v>
      </c>
      <c r="L60" s="41">
        <v>0.92120000000000002</v>
      </c>
      <c r="M60" s="41">
        <v>3.49E-2</v>
      </c>
      <c r="N60" s="41">
        <v>2.1399999999999999E-2</v>
      </c>
      <c r="O60" s="41">
        <v>1.41E-2</v>
      </c>
      <c r="P60" s="41">
        <v>8.3999999999999995E-3</v>
      </c>
      <c r="Q60" s="27">
        <v>5830804685</v>
      </c>
      <c r="R60" s="27">
        <v>3660645893</v>
      </c>
      <c r="S60" s="27">
        <v>21</v>
      </c>
      <c r="T60" s="27">
        <v>31351392</v>
      </c>
      <c r="U60" s="26">
        <v>0.42399999999999999</v>
      </c>
      <c r="V60" s="26">
        <v>0.30020000000000002</v>
      </c>
      <c r="W60" s="26">
        <v>0.27579999999999999</v>
      </c>
    </row>
    <row r="61" spans="1:23" x14ac:dyDescent="0.35">
      <c r="A61" s="40">
        <v>45444</v>
      </c>
      <c r="B61" s="27">
        <v>10101923686</v>
      </c>
      <c r="C61" s="27">
        <v>10543025668</v>
      </c>
      <c r="D61" s="41">
        <v>3.1800000000000002E-2</v>
      </c>
      <c r="E61" s="41">
        <v>0.2344</v>
      </c>
      <c r="F61" s="41">
        <v>5.9200000000000003E-2</v>
      </c>
      <c r="G61" s="41">
        <v>1.1637</v>
      </c>
      <c r="H61" s="27">
        <v>49295083</v>
      </c>
      <c r="I61" s="27">
        <v>444239468</v>
      </c>
      <c r="J61" s="27">
        <v>23439339</v>
      </c>
      <c r="K61" s="27">
        <v>9842489</v>
      </c>
      <c r="L61" s="41">
        <v>0.92479999999999996</v>
      </c>
      <c r="M61" s="41">
        <v>2.7300000000000001E-2</v>
      </c>
      <c r="N61" s="41">
        <v>2.1299999999999999E-2</v>
      </c>
      <c r="O61" s="41">
        <v>1.47E-2</v>
      </c>
      <c r="P61" s="41">
        <v>1.2E-2</v>
      </c>
      <c r="Q61" s="27">
        <v>5560118050</v>
      </c>
      <c r="R61" s="27">
        <v>3612765938</v>
      </c>
      <c r="S61" s="27">
        <v>28</v>
      </c>
      <c r="T61" s="27">
        <v>43046088</v>
      </c>
      <c r="U61" s="26">
        <v>0.40050000000000002</v>
      </c>
      <c r="V61" s="26">
        <v>0.38019999999999998</v>
      </c>
      <c r="W61" s="26">
        <v>0.21929999999999999</v>
      </c>
    </row>
    <row r="62" spans="1:23" x14ac:dyDescent="0.35">
      <c r="A62" s="40">
        <v>45451</v>
      </c>
      <c r="B62" s="27">
        <v>9988041807</v>
      </c>
      <c r="C62" s="27">
        <v>10547209865</v>
      </c>
      <c r="D62" s="41">
        <v>3.2300000000000002E-2</v>
      </c>
      <c r="E62" s="41">
        <v>0.18579999999999999</v>
      </c>
      <c r="F62" s="41">
        <v>4.9399999999999999E-2</v>
      </c>
      <c r="G62" s="41">
        <v>1.1387</v>
      </c>
      <c r="H62" s="27">
        <v>47058415</v>
      </c>
      <c r="I62" s="27">
        <v>306259667</v>
      </c>
      <c r="J62" s="27">
        <v>18744791</v>
      </c>
      <c r="K62" s="27">
        <v>34235767</v>
      </c>
      <c r="L62" s="41">
        <v>0.91790000000000005</v>
      </c>
      <c r="M62" s="41">
        <v>3.0099999999999998E-2</v>
      </c>
      <c r="N62" s="41">
        <v>2.6100000000000002E-2</v>
      </c>
      <c r="O62" s="41">
        <v>1.44E-2</v>
      </c>
      <c r="P62" s="41">
        <v>1.1599999999999999E-2</v>
      </c>
      <c r="Q62" s="27">
        <v>4499203574</v>
      </c>
      <c r="R62" s="27">
        <v>2746662189</v>
      </c>
      <c r="S62" s="27">
        <v>16</v>
      </c>
      <c r="T62" s="27">
        <v>26917659</v>
      </c>
      <c r="U62" s="26">
        <v>0.41260000000000002</v>
      </c>
      <c r="V62" s="26">
        <v>0.30659999999999998</v>
      </c>
      <c r="W62" s="26">
        <v>0.28079999999999999</v>
      </c>
    </row>
    <row r="63" spans="1:23" x14ac:dyDescent="0.35">
      <c r="A63" s="40">
        <v>45458</v>
      </c>
      <c r="B63" s="27">
        <v>9664658497</v>
      </c>
      <c r="C63" s="27">
        <v>10290132916</v>
      </c>
      <c r="D63" s="41">
        <v>3.3300000000000003E-2</v>
      </c>
      <c r="E63" s="41">
        <v>0.21440000000000001</v>
      </c>
      <c r="F63" s="41">
        <v>5.0500000000000003E-2</v>
      </c>
      <c r="G63" s="41">
        <v>1.1669</v>
      </c>
      <c r="H63" s="27">
        <v>60511647</v>
      </c>
      <c r="I63" s="27">
        <v>355564055</v>
      </c>
      <c r="J63" s="27">
        <v>40633063</v>
      </c>
      <c r="K63" s="27">
        <v>13825482</v>
      </c>
      <c r="L63" s="41">
        <v>0.92179999999999995</v>
      </c>
      <c r="M63" s="41">
        <v>3.0099999999999998E-2</v>
      </c>
      <c r="N63" s="41">
        <v>2.5600000000000001E-2</v>
      </c>
      <c r="O63" s="41">
        <v>1.3299999999999999E-2</v>
      </c>
      <c r="P63" s="41">
        <v>9.1999999999999998E-3</v>
      </c>
      <c r="Q63" s="27">
        <v>5213231170</v>
      </c>
      <c r="R63" s="27">
        <v>2954945156</v>
      </c>
      <c r="S63" s="27">
        <v>30</v>
      </c>
      <c r="T63" s="27">
        <v>46043404</v>
      </c>
      <c r="U63" s="26">
        <v>0.35809999999999997</v>
      </c>
      <c r="V63" s="26">
        <v>0.34710000000000002</v>
      </c>
      <c r="W63" s="26">
        <v>0.29480000000000001</v>
      </c>
    </row>
    <row r="64" spans="1:23" x14ac:dyDescent="0.35">
      <c r="A64" s="40">
        <v>45465</v>
      </c>
      <c r="B64" s="27">
        <v>10140409113</v>
      </c>
      <c r="C64" s="27">
        <v>10768609134</v>
      </c>
      <c r="D64" s="41">
        <v>3.3700000000000001E-2</v>
      </c>
      <c r="E64" s="41">
        <v>0.19370000000000001</v>
      </c>
      <c r="F64" s="41">
        <v>5.1700000000000003E-2</v>
      </c>
      <c r="G64" s="41">
        <v>1.1214999999999999</v>
      </c>
      <c r="H64" s="27">
        <v>61884497</v>
      </c>
      <c r="I64" s="27">
        <v>361177369</v>
      </c>
      <c r="J64" s="27">
        <v>15805155</v>
      </c>
      <c r="K64" s="27">
        <v>10969962</v>
      </c>
      <c r="L64" s="41">
        <v>0.92330000000000001</v>
      </c>
      <c r="M64" s="41">
        <v>3.0800000000000001E-2</v>
      </c>
      <c r="N64" s="41">
        <v>2.2200000000000001E-2</v>
      </c>
      <c r="O64" s="41">
        <v>1.2999999999999999E-2</v>
      </c>
      <c r="P64" s="41">
        <v>1.0800000000000001E-2</v>
      </c>
      <c r="Q64" s="27">
        <v>5127461899</v>
      </c>
      <c r="R64" s="27">
        <v>2685407944</v>
      </c>
      <c r="S64" s="27">
        <v>15</v>
      </c>
      <c r="T64" s="27">
        <v>22123817</v>
      </c>
      <c r="U64" s="26">
        <v>0.436</v>
      </c>
      <c r="V64" s="26">
        <v>0.34110000000000001</v>
      </c>
      <c r="W64" s="26">
        <v>0.22289999999999999</v>
      </c>
    </row>
    <row r="65" spans="1:23" x14ac:dyDescent="0.35">
      <c r="A65" s="40">
        <v>45472</v>
      </c>
      <c r="B65" s="27">
        <v>9318639835</v>
      </c>
      <c r="C65" s="27">
        <v>10009284330</v>
      </c>
      <c r="D65" s="41">
        <v>3.7199999999999997E-2</v>
      </c>
      <c r="E65" s="41">
        <v>0.24640000000000001</v>
      </c>
      <c r="F65" s="41">
        <v>3.9199999999999999E-2</v>
      </c>
      <c r="G65" s="41">
        <v>1.1201000000000001</v>
      </c>
      <c r="H65" s="27">
        <v>53773600</v>
      </c>
      <c r="I65" s="27">
        <v>187689340</v>
      </c>
      <c r="J65" s="27">
        <v>24814244</v>
      </c>
      <c r="K65" s="27">
        <v>21861624</v>
      </c>
      <c r="L65" s="41">
        <v>0.91900000000000004</v>
      </c>
      <c r="M65" s="41">
        <v>0.03</v>
      </c>
      <c r="N65" s="41">
        <v>2.52E-2</v>
      </c>
      <c r="O65" s="41">
        <v>1.6400000000000001E-2</v>
      </c>
      <c r="P65" s="41">
        <v>9.4000000000000004E-3</v>
      </c>
      <c r="Q65" s="27">
        <v>4742047979</v>
      </c>
      <c r="R65" s="27">
        <v>2472102000</v>
      </c>
      <c r="S65" s="27">
        <v>20</v>
      </c>
      <c r="T65" s="27">
        <v>24479826</v>
      </c>
      <c r="U65" s="26">
        <v>0.41539999999999999</v>
      </c>
      <c r="V65" s="26">
        <v>0.30120000000000002</v>
      </c>
      <c r="W65" s="26">
        <v>0.28339999999999999</v>
      </c>
    </row>
    <row r="66" spans="1:23" x14ac:dyDescent="0.35">
      <c r="A66" s="40">
        <v>45479</v>
      </c>
      <c r="B66" s="27">
        <v>9291871416</v>
      </c>
      <c r="C66" s="27">
        <v>9996256567</v>
      </c>
      <c r="D66" s="41">
        <v>3.3000000000000002E-2</v>
      </c>
      <c r="E66" s="41">
        <v>0.24890000000000001</v>
      </c>
      <c r="F66" s="41">
        <v>5.3400000000000003E-2</v>
      </c>
      <c r="G66" s="41">
        <v>1.1317999999999999</v>
      </c>
      <c r="H66" s="27">
        <v>53656105</v>
      </c>
      <c r="I66" s="27">
        <v>295537058</v>
      </c>
      <c r="J66" s="27">
        <v>26839491</v>
      </c>
      <c r="K66" s="27">
        <v>27265820</v>
      </c>
      <c r="L66" s="41">
        <v>0.91579999999999995</v>
      </c>
      <c r="M66" s="41">
        <v>3.1E-2</v>
      </c>
      <c r="N66" s="41">
        <v>2.8000000000000001E-2</v>
      </c>
      <c r="O66" s="41">
        <v>1.2500000000000001E-2</v>
      </c>
      <c r="P66" s="41">
        <v>1.2800000000000001E-2</v>
      </c>
      <c r="Q66" s="27">
        <v>5987955951</v>
      </c>
      <c r="R66" s="27">
        <v>2843653345</v>
      </c>
      <c r="S66" s="27">
        <v>33</v>
      </c>
      <c r="T66" s="27">
        <v>48172734</v>
      </c>
      <c r="U66" s="26">
        <v>0.42630000000000001</v>
      </c>
      <c r="V66" s="26">
        <v>0.3957</v>
      </c>
      <c r="W66" s="26">
        <v>0.17799999999999999</v>
      </c>
    </row>
    <row r="67" spans="1:23" x14ac:dyDescent="0.35">
      <c r="A67" s="40">
        <v>45486</v>
      </c>
      <c r="B67" s="27">
        <v>9599466243</v>
      </c>
      <c r="C67" s="27">
        <v>10085739969</v>
      </c>
      <c r="D67" s="41">
        <v>3.4599999999999999E-2</v>
      </c>
      <c r="E67" s="41">
        <v>0.25890000000000002</v>
      </c>
      <c r="F67" s="41">
        <v>5.9299999999999999E-2</v>
      </c>
      <c r="G67" s="41">
        <v>1.1573</v>
      </c>
      <c r="H67" s="27">
        <v>46002606</v>
      </c>
      <c r="I67" s="27">
        <v>276071964</v>
      </c>
      <c r="J67" s="27">
        <v>16372629</v>
      </c>
      <c r="K67" s="27">
        <v>29226734</v>
      </c>
      <c r="L67" s="41">
        <v>0.91559999999999997</v>
      </c>
      <c r="M67" s="41">
        <v>3.2800000000000003E-2</v>
      </c>
      <c r="N67" s="41">
        <v>2.58E-2</v>
      </c>
      <c r="O67" s="41">
        <v>1.41E-2</v>
      </c>
      <c r="P67" s="41">
        <v>1.17E-2</v>
      </c>
      <c r="Q67" s="27">
        <v>4530190770</v>
      </c>
      <c r="R67" s="27">
        <v>2426294323</v>
      </c>
      <c r="S67" s="27">
        <v>30</v>
      </c>
      <c r="T67" s="27">
        <v>83369830</v>
      </c>
      <c r="U67" s="26">
        <v>0.43569999999999998</v>
      </c>
      <c r="V67" s="26">
        <v>0.39050000000000001</v>
      </c>
      <c r="W67" s="26">
        <v>0.17380000000000001</v>
      </c>
    </row>
    <row r="68" spans="1:23" x14ac:dyDescent="0.35">
      <c r="A68" s="40">
        <v>45493</v>
      </c>
      <c r="B68" s="27">
        <v>9292601898</v>
      </c>
      <c r="C68" s="27">
        <v>9969220505</v>
      </c>
      <c r="D68" s="41">
        <v>3.6400000000000002E-2</v>
      </c>
      <c r="E68" s="41">
        <v>0.1905</v>
      </c>
      <c r="F68" s="41">
        <v>5.4399999999999997E-2</v>
      </c>
      <c r="G68" s="41">
        <v>1.1426000000000001</v>
      </c>
      <c r="H68" s="27">
        <v>61876436</v>
      </c>
      <c r="I68" s="27">
        <v>447433402</v>
      </c>
      <c r="J68" s="27">
        <v>36287626</v>
      </c>
      <c r="K68" s="27">
        <v>18725975</v>
      </c>
      <c r="L68" s="41">
        <v>0.9194</v>
      </c>
      <c r="M68" s="41">
        <v>0.03</v>
      </c>
      <c r="N68" s="41">
        <v>2.69E-2</v>
      </c>
      <c r="O68" s="41">
        <v>1.3899999999999999E-2</v>
      </c>
      <c r="P68" s="41">
        <v>9.9000000000000008E-3</v>
      </c>
      <c r="Q68" s="27">
        <v>4749018357</v>
      </c>
      <c r="R68" s="27">
        <v>2847874723</v>
      </c>
      <c r="S68" s="27">
        <v>35</v>
      </c>
      <c r="T68" s="27">
        <v>42511421</v>
      </c>
      <c r="U68" s="26">
        <v>0.42259999999999998</v>
      </c>
      <c r="V68" s="26">
        <v>0.35759999999999997</v>
      </c>
      <c r="W68" s="26">
        <v>0.2198</v>
      </c>
    </row>
    <row r="69" spans="1:23" x14ac:dyDescent="0.35">
      <c r="A69" s="40">
        <v>45500</v>
      </c>
      <c r="B69" s="27">
        <v>10166062221</v>
      </c>
      <c r="C69" s="27">
        <v>10825231187</v>
      </c>
      <c r="D69" s="41">
        <v>3.5700000000000003E-2</v>
      </c>
      <c r="E69" s="41">
        <v>0.20979999999999999</v>
      </c>
      <c r="F69" s="41">
        <v>5.2200000000000003E-2</v>
      </c>
      <c r="G69" s="41">
        <v>1.1563000000000001</v>
      </c>
      <c r="H69" s="27">
        <v>57978894</v>
      </c>
      <c r="I69" s="27">
        <v>296890265</v>
      </c>
      <c r="J69" s="27">
        <v>19604742</v>
      </c>
      <c r="K69" s="27">
        <v>34773470</v>
      </c>
      <c r="L69" s="41">
        <v>0.9224</v>
      </c>
      <c r="M69" s="41">
        <v>2.87E-2</v>
      </c>
      <c r="N69" s="41">
        <v>2.6200000000000001E-2</v>
      </c>
      <c r="O69" s="41">
        <v>1.29E-2</v>
      </c>
      <c r="P69" s="41">
        <v>9.7999999999999997E-3</v>
      </c>
      <c r="Q69" s="27">
        <v>4575984212</v>
      </c>
      <c r="R69" s="27">
        <v>2561058276</v>
      </c>
      <c r="S69" s="27">
        <v>17</v>
      </c>
      <c r="T69" s="27">
        <v>29358524</v>
      </c>
      <c r="U69" s="26">
        <v>0.3589</v>
      </c>
      <c r="V69" s="26">
        <v>0.39090000000000003</v>
      </c>
      <c r="W69" s="26">
        <v>0.25019999999999998</v>
      </c>
    </row>
    <row r="70" spans="1:23" x14ac:dyDescent="0.35">
      <c r="A70" s="40">
        <v>45507</v>
      </c>
      <c r="B70" s="27">
        <v>9144475794</v>
      </c>
      <c r="C70" s="27">
        <v>9421503621</v>
      </c>
      <c r="D70" s="41">
        <v>3.78E-2</v>
      </c>
      <c r="E70" s="41">
        <v>0.2039</v>
      </c>
      <c r="F70" s="41">
        <v>3.8600000000000002E-2</v>
      </c>
      <c r="G70" s="41">
        <v>1.1273</v>
      </c>
      <c r="H70" s="27">
        <v>60433672</v>
      </c>
      <c r="I70" s="27">
        <v>290723831</v>
      </c>
      <c r="J70" s="27">
        <v>15265912</v>
      </c>
      <c r="K70" s="27">
        <v>17924115</v>
      </c>
      <c r="L70" s="41">
        <v>0.90949999999999998</v>
      </c>
      <c r="M70" s="41">
        <v>3.4500000000000003E-2</v>
      </c>
      <c r="N70" s="41">
        <v>2.8199999999999999E-2</v>
      </c>
      <c r="O70" s="41">
        <v>1.4500000000000001E-2</v>
      </c>
      <c r="P70" s="41">
        <v>1.34E-2</v>
      </c>
      <c r="Q70" s="27">
        <v>4411056723</v>
      </c>
      <c r="R70" s="27">
        <v>2663790934</v>
      </c>
      <c r="S70" s="27">
        <v>23</v>
      </c>
      <c r="T70" s="27">
        <v>35920305</v>
      </c>
      <c r="U70" s="26">
        <v>0.38950000000000001</v>
      </c>
      <c r="V70" s="26">
        <v>0.32990000000000003</v>
      </c>
      <c r="W70" s="26">
        <v>0.28050000000000003</v>
      </c>
    </row>
    <row r="71" spans="1:23" x14ac:dyDescent="0.35">
      <c r="A71" s="40">
        <v>45514</v>
      </c>
      <c r="B71" s="27">
        <v>10103503866</v>
      </c>
      <c r="C71" s="27">
        <v>10719317665</v>
      </c>
      <c r="D71" s="41">
        <v>3.7400000000000003E-2</v>
      </c>
      <c r="E71" s="41">
        <v>0.21790000000000001</v>
      </c>
      <c r="F71" s="41">
        <v>5.5100000000000003E-2</v>
      </c>
      <c r="G71" s="41">
        <v>1.1375</v>
      </c>
      <c r="H71" s="27">
        <v>49163447</v>
      </c>
      <c r="I71" s="27">
        <v>194741181</v>
      </c>
      <c r="J71" s="27">
        <v>27546377</v>
      </c>
      <c r="K71" s="27">
        <v>26348094</v>
      </c>
      <c r="L71" s="41">
        <v>0.9113</v>
      </c>
      <c r="M71" s="41">
        <v>3.61E-2</v>
      </c>
      <c r="N71" s="41">
        <v>2.7199999999999998E-2</v>
      </c>
      <c r="O71" s="41">
        <v>1.4800000000000001E-2</v>
      </c>
      <c r="P71" s="41">
        <v>1.0699999999999999E-2</v>
      </c>
      <c r="Q71" s="27">
        <v>4985619240</v>
      </c>
      <c r="R71" s="27">
        <v>2871581710</v>
      </c>
      <c r="S71" s="27">
        <v>18</v>
      </c>
      <c r="T71" s="27">
        <v>47832456</v>
      </c>
      <c r="U71" s="26">
        <v>0.35680000000000001</v>
      </c>
      <c r="V71" s="26">
        <v>0.34189999999999998</v>
      </c>
      <c r="W71" s="26">
        <v>0.30130000000000001</v>
      </c>
    </row>
    <row r="72" spans="1:23" x14ac:dyDescent="0.35">
      <c r="A72" s="40">
        <v>45521</v>
      </c>
      <c r="B72" s="27">
        <v>9199640609</v>
      </c>
      <c r="C72" s="27">
        <v>9814237094</v>
      </c>
      <c r="D72" s="41">
        <v>3.8100000000000002E-2</v>
      </c>
      <c r="E72" s="41">
        <v>0.2366</v>
      </c>
      <c r="F72" s="41">
        <v>4.1399999999999999E-2</v>
      </c>
      <c r="G72" s="41">
        <v>1.1335999999999999</v>
      </c>
      <c r="H72" s="27">
        <v>57452025</v>
      </c>
      <c r="I72" s="27">
        <v>305514169</v>
      </c>
      <c r="J72" s="27">
        <v>19894333</v>
      </c>
      <c r="K72" s="27">
        <v>14952690</v>
      </c>
      <c r="L72" s="41">
        <v>0.91649999999999998</v>
      </c>
      <c r="M72" s="41">
        <v>0.03</v>
      </c>
      <c r="N72" s="41">
        <v>2.75E-2</v>
      </c>
      <c r="O72" s="41">
        <v>1.5800000000000002E-2</v>
      </c>
      <c r="P72" s="41">
        <v>1.0200000000000001E-2</v>
      </c>
      <c r="Q72" s="27">
        <v>5719879842</v>
      </c>
      <c r="R72" s="27">
        <v>2691564175</v>
      </c>
      <c r="S72" s="27">
        <v>24</v>
      </c>
      <c r="T72" s="27">
        <v>32738538</v>
      </c>
      <c r="U72" s="26">
        <v>0.43859999999999999</v>
      </c>
      <c r="V72" s="26">
        <v>0.34150000000000003</v>
      </c>
      <c r="W72" s="26">
        <v>0.2198</v>
      </c>
    </row>
    <row r="73" spans="1:23" x14ac:dyDescent="0.35">
      <c r="A73" s="40">
        <v>45528</v>
      </c>
      <c r="B73" s="27">
        <v>9205981625</v>
      </c>
      <c r="C73" s="27">
        <v>9509779386</v>
      </c>
      <c r="D73" s="41">
        <v>4.0500000000000001E-2</v>
      </c>
      <c r="E73" s="41">
        <v>0.2283</v>
      </c>
      <c r="F73" s="41">
        <v>4.0800000000000003E-2</v>
      </c>
      <c r="G73" s="41">
        <v>1.1135999999999999</v>
      </c>
      <c r="H73" s="27">
        <v>54227814</v>
      </c>
      <c r="I73" s="27">
        <v>298267268</v>
      </c>
      <c r="J73" s="27">
        <v>43447259</v>
      </c>
      <c r="K73" s="27">
        <v>18628895</v>
      </c>
      <c r="L73" s="41">
        <v>0.91749999999999998</v>
      </c>
      <c r="M73" s="41">
        <v>3.1699999999999999E-2</v>
      </c>
      <c r="N73" s="41">
        <v>2.6200000000000001E-2</v>
      </c>
      <c r="O73" s="41">
        <v>1.41E-2</v>
      </c>
      <c r="P73" s="41">
        <v>1.0500000000000001E-2</v>
      </c>
      <c r="Q73" s="27">
        <v>5890320374</v>
      </c>
      <c r="R73" s="27">
        <v>2970874508</v>
      </c>
      <c r="S73" s="27">
        <v>17</v>
      </c>
      <c r="T73" s="27">
        <v>34584828</v>
      </c>
      <c r="U73" s="26">
        <v>0.44779999999999998</v>
      </c>
      <c r="V73" s="26">
        <v>0.3125</v>
      </c>
      <c r="W73" s="26">
        <v>0.2397</v>
      </c>
    </row>
    <row r="74" spans="1:23" x14ac:dyDescent="0.35">
      <c r="A74" s="40">
        <v>45535</v>
      </c>
      <c r="B74" s="27">
        <v>9630047634</v>
      </c>
      <c r="C74" s="27">
        <v>10045501098</v>
      </c>
      <c r="D74" s="41">
        <v>4.24E-2</v>
      </c>
      <c r="E74" s="41">
        <v>0.2346</v>
      </c>
      <c r="F74" s="41">
        <v>5.2200000000000003E-2</v>
      </c>
      <c r="G74" s="41">
        <v>1.1417999999999999</v>
      </c>
      <c r="H74" s="27">
        <v>61225851</v>
      </c>
      <c r="I74" s="27">
        <v>235685875</v>
      </c>
      <c r="J74" s="27">
        <v>39637051</v>
      </c>
      <c r="K74" s="27">
        <v>5238288</v>
      </c>
      <c r="L74" s="41">
        <v>0.91979999999999995</v>
      </c>
      <c r="M74" s="41">
        <v>3.2099999999999997E-2</v>
      </c>
      <c r="N74" s="41">
        <v>2.3599999999999999E-2</v>
      </c>
      <c r="O74" s="41">
        <v>1.46E-2</v>
      </c>
      <c r="P74" s="41">
        <v>9.9000000000000008E-3</v>
      </c>
      <c r="Q74" s="27">
        <v>5021156798</v>
      </c>
      <c r="R74" s="27">
        <v>2723755198</v>
      </c>
      <c r="S74" s="27">
        <v>17</v>
      </c>
      <c r="T74" s="27">
        <v>29891113</v>
      </c>
      <c r="U74" s="26">
        <v>0.39679999999999999</v>
      </c>
      <c r="V74" s="26">
        <v>0.35349999999999998</v>
      </c>
      <c r="W74" s="26">
        <v>0.24959999999999999</v>
      </c>
    </row>
    <row r="75" spans="1:23" x14ac:dyDescent="0.35">
      <c r="A75" s="40">
        <v>45542</v>
      </c>
      <c r="B75" s="27">
        <v>9783066130</v>
      </c>
      <c r="C75" s="27">
        <v>10378003912</v>
      </c>
      <c r="D75" s="41">
        <v>4.02E-2</v>
      </c>
      <c r="E75" s="41">
        <v>0.21970000000000001</v>
      </c>
      <c r="F75" s="41">
        <v>5.57E-2</v>
      </c>
      <c r="G75" s="41">
        <v>1.1580999999999999</v>
      </c>
      <c r="H75" s="27">
        <v>48504041</v>
      </c>
      <c r="I75" s="27">
        <v>305436175</v>
      </c>
      <c r="J75" s="27">
        <v>32437007</v>
      </c>
      <c r="K75" s="27">
        <v>82284488</v>
      </c>
      <c r="L75" s="41">
        <v>0.91390000000000005</v>
      </c>
      <c r="M75" s="41">
        <v>3.4500000000000003E-2</v>
      </c>
      <c r="N75" s="41">
        <v>2.47E-2</v>
      </c>
      <c r="O75" s="41">
        <v>1.5299999999999999E-2</v>
      </c>
      <c r="P75" s="41">
        <v>1.1599999999999999E-2</v>
      </c>
      <c r="Q75" s="27">
        <v>4712896381</v>
      </c>
      <c r="R75" s="27">
        <v>2563414321</v>
      </c>
      <c r="S75" s="27">
        <v>18</v>
      </c>
      <c r="T75" s="27">
        <v>31697674</v>
      </c>
      <c r="U75" s="26">
        <v>0.4294</v>
      </c>
      <c r="V75" s="26">
        <v>0.34639999999999999</v>
      </c>
      <c r="W75" s="26">
        <v>0.22420000000000001</v>
      </c>
    </row>
    <row r="76" spans="1:23" x14ac:dyDescent="0.35">
      <c r="A76" s="40">
        <v>45549</v>
      </c>
      <c r="B76" s="27">
        <v>9375439068</v>
      </c>
      <c r="C76" s="27">
        <v>9882451033</v>
      </c>
      <c r="D76" s="41">
        <v>4.3900000000000002E-2</v>
      </c>
      <c r="E76" s="41">
        <v>0.2079</v>
      </c>
      <c r="F76" s="41">
        <v>5.0900000000000001E-2</v>
      </c>
      <c r="G76" s="41">
        <v>1.1193</v>
      </c>
      <c r="H76" s="27">
        <v>61518889</v>
      </c>
      <c r="I76" s="27">
        <v>323530597</v>
      </c>
      <c r="J76" s="27">
        <v>30379696</v>
      </c>
      <c r="K76" s="27">
        <v>16998265</v>
      </c>
      <c r="L76" s="41">
        <v>0.9113</v>
      </c>
      <c r="M76" s="41">
        <v>3.2000000000000001E-2</v>
      </c>
      <c r="N76" s="41">
        <v>2.8000000000000001E-2</v>
      </c>
      <c r="O76" s="41">
        <v>1.7299999999999999E-2</v>
      </c>
      <c r="P76" s="41">
        <v>1.1299999999999999E-2</v>
      </c>
      <c r="Q76" s="27">
        <v>5028521479</v>
      </c>
      <c r="R76" s="27">
        <v>2849812223</v>
      </c>
      <c r="S76" s="27">
        <v>33</v>
      </c>
      <c r="T76" s="27">
        <v>56051695</v>
      </c>
      <c r="U76" s="26">
        <v>0.4294</v>
      </c>
      <c r="V76" s="26">
        <v>0.39539999999999997</v>
      </c>
      <c r="W76" s="26">
        <v>0.17519999999999999</v>
      </c>
    </row>
    <row r="77" spans="1:23" x14ac:dyDescent="0.35">
      <c r="A77" s="40">
        <v>45556</v>
      </c>
      <c r="B77" s="27">
        <v>9530418102</v>
      </c>
      <c r="C77" s="27">
        <v>10029230532</v>
      </c>
      <c r="D77" s="41">
        <v>3.95E-2</v>
      </c>
      <c r="E77" s="41">
        <v>0.22220000000000001</v>
      </c>
      <c r="F77" s="41">
        <v>5.1700000000000003E-2</v>
      </c>
      <c r="G77" s="41">
        <v>1.1406000000000001</v>
      </c>
      <c r="H77" s="27">
        <v>66246989</v>
      </c>
      <c r="I77" s="27">
        <v>262668977</v>
      </c>
      <c r="J77" s="27">
        <v>36925937</v>
      </c>
      <c r="K77" s="27">
        <v>11774916</v>
      </c>
      <c r="L77" s="41">
        <v>0.9123</v>
      </c>
      <c r="M77" s="41">
        <v>3.3599999999999998E-2</v>
      </c>
      <c r="N77" s="41">
        <v>2.41E-2</v>
      </c>
      <c r="O77" s="41">
        <v>1.6E-2</v>
      </c>
      <c r="P77" s="41">
        <v>1.4E-2</v>
      </c>
      <c r="Q77" s="27">
        <v>5455169244</v>
      </c>
      <c r="R77" s="27">
        <v>3257028740</v>
      </c>
      <c r="S77" s="27">
        <v>21</v>
      </c>
      <c r="T77" s="27">
        <v>48550826</v>
      </c>
      <c r="U77" s="26">
        <v>0.35749999999999998</v>
      </c>
      <c r="V77" s="26">
        <v>0.34949999999999998</v>
      </c>
      <c r="W77" s="26">
        <v>0.29299999999999998</v>
      </c>
    </row>
    <row r="78" spans="1:23" x14ac:dyDescent="0.35">
      <c r="A78" s="40">
        <v>45563</v>
      </c>
      <c r="B78" s="27">
        <v>9640798015</v>
      </c>
      <c r="C78" s="27">
        <v>10250066092</v>
      </c>
      <c r="D78" s="41">
        <v>4.4499999999999998E-2</v>
      </c>
      <c r="E78" s="41">
        <v>0.2475</v>
      </c>
      <c r="F78" s="41">
        <v>4.9599999999999998E-2</v>
      </c>
      <c r="G78" s="41">
        <v>1.1163000000000001</v>
      </c>
      <c r="H78" s="27">
        <v>57211178</v>
      </c>
      <c r="I78" s="27">
        <v>373930109</v>
      </c>
      <c r="J78" s="27">
        <v>19437012</v>
      </c>
      <c r="K78" s="27">
        <v>17309568</v>
      </c>
      <c r="L78" s="41">
        <v>0.90620000000000001</v>
      </c>
      <c r="M78" s="41">
        <v>4.1399999999999999E-2</v>
      </c>
      <c r="N78" s="41">
        <v>2.5999999999999999E-2</v>
      </c>
      <c r="O78" s="41">
        <v>1.37E-2</v>
      </c>
      <c r="P78" s="41">
        <v>1.2800000000000001E-2</v>
      </c>
      <c r="Q78" s="27">
        <v>5513289737</v>
      </c>
      <c r="R78" s="27">
        <v>2955917776</v>
      </c>
      <c r="S78" s="27">
        <v>21</v>
      </c>
      <c r="T78" s="27">
        <v>50210668</v>
      </c>
      <c r="U78" s="26">
        <v>0.36940000000000001</v>
      </c>
      <c r="V78" s="26">
        <v>0.39550000000000002</v>
      </c>
      <c r="W78" s="26">
        <v>0.2351</v>
      </c>
    </row>
    <row r="79" spans="1:23" x14ac:dyDescent="0.35">
      <c r="A79" s="40">
        <v>45570</v>
      </c>
      <c r="B79" s="27">
        <v>9632916852</v>
      </c>
      <c r="C79" s="27">
        <v>10267221008</v>
      </c>
      <c r="D79" s="41">
        <v>4.3999999999999997E-2</v>
      </c>
      <c r="E79" s="41">
        <v>0.2213</v>
      </c>
      <c r="F79" s="41">
        <v>5.1700000000000003E-2</v>
      </c>
      <c r="G79" s="41">
        <v>1.1574</v>
      </c>
      <c r="H79" s="27">
        <v>49658055</v>
      </c>
      <c r="I79" s="27">
        <v>463268319</v>
      </c>
      <c r="J79" s="27">
        <v>34190044</v>
      </c>
      <c r="K79" s="27">
        <v>9643265</v>
      </c>
      <c r="L79" s="41">
        <v>0.90329999999999999</v>
      </c>
      <c r="M79" s="41">
        <v>3.7699999999999997E-2</v>
      </c>
      <c r="N79" s="41">
        <v>2.93E-2</v>
      </c>
      <c r="O79" s="41">
        <v>1.6799999999999999E-2</v>
      </c>
      <c r="P79" s="41">
        <v>1.2800000000000001E-2</v>
      </c>
      <c r="Q79" s="27">
        <v>4721119799</v>
      </c>
      <c r="R79" s="27">
        <v>2187901053</v>
      </c>
      <c r="S79" s="27">
        <v>19</v>
      </c>
      <c r="T79" s="27">
        <v>41155236</v>
      </c>
      <c r="U79" s="26">
        <v>0.36209999999999998</v>
      </c>
      <c r="V79" s="26">
        <v>0.30969999999999998</v>
      </c>
      <c r="W79" s="26">
        <v>0.32819999999999999</v>
      </c>
    </row>
    <row r="80" spans="1:23" x14ac:dyDescent="0.35">
      <c r="A80" s="40">
        <v>45577</v>
      </c>
      <c r="B80" s="27">
        <v>9197332250</v>
      </c>
      <c r="C80" s="27">
        <v>9488537812</v>
      </c>
      <c r="D80" s="41">
        <v>4.1200000000000001E-2</v>
      </c>
      <c r="E80" s="41">
        <v>0.1804</v>
      </c>
      <c r="F80" s="41">
        <v>5.7200000000000001E-2</v>
      </c>
      <c r="G80" s="41">
        <v>1.1327</v>
      </c>
      <c r="H80" s="27">
        <v>64324823</v>
      </c>
      <c r="I80" s="27">
        <v>269248959</v>
      </c>
      <c r="J80" s="27">
        <v>35470836</v>
      </c>
      <c r="K80" s="27">
        <v>33732308</v>
      </c>
      <c r="L80" s="41">
        <v>0.91090000000000004</v>
      </c>
      <c r="M80" s="41">
        <v>3.5999999999999997E-2</v>
      </c>
      <c r="N80" s="41">
        <v>2.4799999999999999E-2</v>
      </c>
      <c r="O80" s="41">
        <v>1.44E-2</v>
      </c>
      <c r="P80" s="41">
        <v>1.38E-2</v>
      </c>
      <c r="Q80" s="27">
        <v>5201360456</v>
      </c>
      <c r="R80" s="27">
        <v>2711453802</v>
      </c>
      <c r="S80" s="27">
        <v>32</v>
      </c>
      <c r="T80" s="27">
        <v>82095186</v>
      </c>
      <c r="U80" s="26">
        <v>0.43020000000000003</v>
      </c>
      <c r="V80" s="26">
        <v>0.34389999999999998</v>
      </c>
      <c r="W80" s="26">
        <v>0.22600000000000001</v>
      </c>
    </row>
    <row r="81" spans="1:23" x14ac:dyDescent="0.35">
      <c r="A81" s="40">
        <v>45584</v>
      </c>
      <c r="B81" s="27">
        <v>9835550355</v>
      </c>
      <c r="C81" s="27">
        <v>10436439426</v>
      </c>
      <c r="D81" s="41">
        <v>4.2500000000000003E-2</v>
      </c>
      <c r="E81" s="41">
        <v>0.1963</v>
      </c>
      <c r="F81" s="41">
        <v>4.1500000000000002E-2</v>
      </c>
      <c r="G81" s="41">
        <v>1.1564000000000001</v>
      </c>
      <c r="H81" s="27">
        <v>51750719</v>
      </c>
      <c r="I81" s="27">
        <v>409668031</v>
      </c>
      <c r="J81" s="27">
        <v>21323089</v>
      </c>
      <c r="K81" s="27">
        <v>16171700</v>
      </c>
      <c r="L81" s="41">
        <v>0.90859999999999996</v>
      </c>
      <c r="M81" s="41">
        <v>3.1800000000000002E-2</v>
      </c>
      <c r="N81" s="41">
        <v>2.9899999999999999E-2</v>
      </c>
      <c r="O81" s="41">
        <v>1.66E-2</v>
      </c>
      <c r="P81" s="41">
        <v>1.3100000000000001E-2</v>
      </c>
      <c r="Q81" s="27">
        <v>5126020777</v>
      </c>
      <c r="R81" s="27">
        <v>2423827273</v>
      </c>
      <c r="S81" s="27">
        <v>30</v>
      </c>
      <c r="T81" s="27">
        <v>76143610</v>
      </c>
      <c r="U81" s="26">
        <v>0.377</v>
      </c>
      <c r="V81" s="26">
        <v>0.35880000000000001</v>
      </c>
      <c r="W81" s="26">
        <v>0.2641</v>
      </c>
    </row>
    <row r="82" spans="1:23" x14ac:dyDescent="0.35">
      <c r="A82" s="40">
        <v>45591</v>
      </c>
      <c r="B82" s="27">
        <v>10068589816</v>
      </c>
      <c r="C82" s="27">
        <v>10829711099</v>
      </c>
      <c r="D82" s="41">
        <v>4.1500000000000002E-2</v>
      </c>
      <c r="E82" s="41">
        <v>0.22869999999999999</v>
      </c>
      <c r="F82" s="41">
        <v>5.8400000000000001E-2</v>
      </c>
      <c r="G82" s="41">
        <v>1.1276999999999999</v>
      </c>
      <c r="H82" s="27">
        <v>62862475</v>
      </c>
      <c r="I82" s="27">
        <v>327863795</v>
      </c>
      <c r="J82" s="27">
        <v>32444595</v>
      </c>
      <c r="K82" s="27">
        <v>15321582</v>
      </c>
      <c r="L82" s="41">
        <v>0.90529999999999999</v>
      </c>
      <c r="M82" s="41">
        <v>4.0599999999999997E-2</v>
      </c>
      <c r="N82" s="41">
        <v>2.46E-2</v>
      </c>
      <c r="O82" s="41">
        <v>1.72E-2</v>
      </c>
      <c r="P82" s="41">
        <v>1.24E-2</v>
      </c>
      <c r="Q82" s="27">
        <v>5996513363</v>
      </c>
      <c r="R82" s="27">
        <v>2792510278</v>
      </c>
      <c r="S82" s="27">
        <v>17</v>
      </c>
      <c r="T82" s="27">
        <v>46474605</v>
      </c>
      <c r="U82" s="26">
        <v>0.44919999999999999</v>
      </c>
      <c r="V82" s="26">
        <v>0.35649999999999998</v>
      </c>
      <c r="W82" s="26">
        <v>0.19420000000000001</v>
      </c>
    </row>
    <row r="83" spans="1:23" x14ac:dyDescent="0.35">
      <c r="A83" s="40">
        <v>45598</v>
      </c>
      <c r="B83" s="27">
        <v>9276477004</v>
      </c>
      <c r="C83" s="27">
        <v>9990396937</v>
      </c>
      <c r="D83" s="41">
        <v>4.3499999999999997E-2</v>
      </c>
      <c r="E83" s="41">
        <v>0.22850000000000001</v>
      </c>
      <c r="F83" s="41">
        <v>4.1099999999999998E-2</v>
      </c>
      <c r="G83" s="41">
        <v>1.1102000000000001</v>
      </c>
      <c r="H83" s="27">
        <v>52922574</v>
      </c>
      <c r="I83" s="27">
        <v>183591604</v>
      </c>
      <c r="J83" s="27">
        <v>31564903</v>
      </c>
      <c r="K83" s="27">
        <v>20260945</v>
      </c>
      <c r="L83" s="41">
        <v>0.90549999999999997</v>
      </c>
      <c r="M83" s="41">
        <v>3.8300000000000001E-2</v>
      </c>
      <c r="N83" s="41">
        <v>2.4799999999999999E-2</v>
      </c>
      <c r="O83" s="41">
        <v>1.8100000000000002E-2</v>
      </c>
      <c r="P83" s="41">
        <v>1.32E-2</v>
      </c>
      <c r="Q83" s="27">
        <v>4712212265</v>
      </c>
      <c r="R83" s="27">
        <v>2580752271</v>
      </c>
      <c r="S83" s="27">
        <v>15</v>
      </c>
      <c r="T83" s="27">
        <v>26868973</v>
      </c>
      <c r="U83" s="26">
        <v>0.37819999999999998</v>
      </c>
      <c r="V83" s="26">
        <v>0.39479999999999998</v>
      </c>
      <c r="W83" s="26">
        <v>0.22700000000000001</v>
      </c>
    </row>
    <row r="84" spans="1:23" x14ac:dyDescent="0.35">
      <c r="A84" s="40">
        <v>45605</v>
      </c>
      <c r="B84" s="27">
        <v>10045804993</v>
      </c>
      <c r="C84" s="27">
        <v>10732356428</v>
      </c>
      <c r="D84" s="41">
        <v>4.58E-2</v>
      </c>
      <c r="E84" s="41">
        <v>0.2324</v>
      </c>
      <c r="F84" s="41">
        <v>5.16E-2</v>
      </c>
      <c r="G84" s="41">
        <v>1.1173</v>
      </c>
      <c r="H84" s="27">
        <v>51423796</v>
      </c>
      <c r="I84" s="27">
        <v>204947519</v>
      </c>
      <c r="J84" s="27">
        <v>31070964</v>
      </c>
      <c r="K84" s="27">
        <v>30791685</v>
      </c>
      <c r="L84" s="41">
        <v>0.90139999999999998</v>
      </c>
      <c r="M84" s="41">
        <v>4.0500000000000001E-2</v>
      </c>
      <c r="N84" s="41">
        <v>3.0599999999999999E-2</v>
      </c>
      <c r="O84" s="41">
        <v>1.5599999999999999E-2</v>
      </c>
      <c r="P84" s="41">
        <v>1.18E-2</v>
      </c>
      <c r="Q84" s="27">
        <v>5573334959</v>
      </c>
      <c r="R84" s="27">
        <v>3555803082</v>
      </c>
      <c r="S84" s="27">
        <v>16</v>
      </c>
      <c r="T84" s="27">
        <v>40844338</v>
      </c>
      <c r="U84" s="26">
        <v>0.42549999999999999</v>
      </c>
      <c r="V84" s="26">
        <v>0.35270000000000001</v>
      </c>
      <c r="W84" s="26">
        <v>0.2218</v>
      </c>
    </row>
    <row r="85" spans="1:23" x14ac:dyDescent="0.35">
      <c r="A85" s="40">
        <v>45612</v>
      </c>
      <c r="B85" s="27">
        <v>10068542751</v>
      </c>
      <c r="C85" s="27">
        <v>10837316060</v>
      </c>
      <c r="D85" s="41">
        <v>4.7300000000000002E-2</v>
      </c>
      <c r="E85" s="41">
        <v>0.2482</v>
      </c>
      <c r="F85" s="41">
        <v>4.2200000000000001E-2</v>
      </c>
      <c r="G85" s="41">
        <v>1.1262000000000001</v>
      </c>
      <c r="H85" s="27">
        <v>64148160</v>
      </c>
      <c r="I85" s="27">
        <v>153437415</v>
      </c>
      <c r="J85" s="27">
        <v>27489088</v>
      </c>
      <c r="K85" s="27">
        <v>9510472</v>
      </c>
      <c r="L85" s="41">
        <v>0.90059999999999996</v>
      </c>
      <c r="M85" s="41">
        <v>4.2999999999999997E-2</v>
      </c>
      <c r="N85" s="41">
        <v>2.7E-2</v>
      </c>
      <c r="O85" s="41">
        <v>1.52E-2</v>
      </c>
      <c r="P85" s="41">
        <v>1.41E-2</v>
      </c>
      <c r="Q85" s="27">
        <v>5260370391</v>
      </c>
      <c r="R85" s="27">
        <v>2715440156</v>
      </c>
      <c r="S85" s="27">
        <v>16</v>
      </c>
      <c r="T85" s="27">
        <v>35199303</v>
      </c>
      <c r="U85" s="26">
        <v>0.40939999999999999</v>
      </c>
      <c r="V85" s="26">
        <v>0.30669999999999997</v>
      </c>
      <c r="W85" s="26">
        <v>0.28389999999999999</v>
      </c>
    </row>
    <row r="86" spans="1:23" x14ac:dyDescent="0.35">
      <c r="A86" s="40">
        <v>45619</v>
      </c>
      <c r="B86" s="27">
        <v>9389970076</v>
      </c>
      <c r="C86" s="27">
        <v>10071952274</v>
      </c>
      <c r="D86" s="41">
        <v>4.7399999999999998E-2</v>
      </c>
      <c r="E86" s="41">
        <v>0.23899999999999999</v>
      </c>
      <c r="F86" s="41">
        <v>4.7300000000000002E-2</v>
      </c>
      <c r="G86" s="41">
        <v>1.1343000000000001</v>
      </c>
      <c r="H86" s="27">
        <v>65658330</v>
      </c>
      <c r="I86" s="27">
        <v>464207765</v>
      </c>
      <c r="J86" s="27">
        <v>20076406</v>
      </c>
      <c r="K86" s="27">
        <v>34588108</v>
      </c>
      <c r="L86" s="41">
        <v>0.90980000000000005</v>
      </c>
      <c r="M86" s="41">
        <v>3.5700000000000003E-2</v>
      </c>
      <c r="N86" s="41">
        <v>2.47E-2</v>
      </c>
      <c r="O86" s="41">
        <v>1.7100000000000001E-2</v>
      </c>
      <c r="P86" s="41">
        <v>1.2699999999999999E-2</v>
      </c>
      <c r="Q86" s="27">
        <v>5468355938</v>
      </c>
      <c r="R86" s="27">
        <v>2528002802</v>
      </c>
      <c r="S86" s="27">
        <v>21</v>
      </c>
      <c r="T86" s="27">
        <v>52921597</v>
      </c>
      <c r="U86" s="26">
        <v>0.4002</v>
      </c>
      <c r="V86" s="26">
        <v>0.37290000000000001</v>
      </c>
      <c r="W86" s="26">
        <v>0.22700000000000001</v>
      </c>
    </row>
    <row r="87" spans="1:23" x14ac:dyDescent="0.35">
      <c r="A87" s="40">
        <v>45626</v>
      </c>
      <c r="B87" s="27">
        <v>9239350479</v>
      </c>
      <c r="C87" s="27">
        <v>9670434141</v>
      </c>
      <c r="D87" s="41">
        <v>4.9799999999999997E-2</v>
      </c>
      <c r="E87" s="41">
        <v>0.2576</v>
      </c>
      <c r="F87" s="41">
        <v>4.6899999999999997E-2</v>
      </c>
      <c r="G87" s="41">
        <v>1.1392</v>
      </c>
      <c r="H87" s="27">
        <v>63799792</v>
      </c>
      <c r="I87" s="27">
        <v>310549732</v>
      </c>
      <c r="J87" s="27">
        <v>19960262</v>
      </c>
      <c r="K87" s="27">
        <v>5025296</v>
      </c>
      <c r="L87" s="41">
        <v>0.90300000000000002</v>
      </c>
      <c r="M87" s="41">
        <v>4.24E-2</v>
      </c>
      <c r="N87" s="41">
        <v>2.7300000000000001E-2</v>
      </c>
      <c r="O87" s="41">
        <v>1.4999999999999999E-2</v>
      </c>
      <c r="P87" s="41">
        <v>1.23E-2</v>
      </c>
      <c r="Q87" s="27">
        <v>4725315171</v>
      </c>
      <c r="R87" s="27">
        <v>2211605226</v>
      </c>
      <c r="S87" s="27">
        <v>22</v>
      </c>
      <c r="T87" s="27">
        <v>31825655</v>
      </c>
      <c r="U87" s="26">
        <v>0.40550000000000003</v>
      </c>
      <c r="V87" s="26">
        <v>0.37759999999999999</v>
      </c>
      <c r="W87" s="26">
        <v>0.21690000000000001</v>
      </c>
    </row>
    <row r="88" spans="1:23" x14ac:dyDescent="0.35">
      <c r="A88" s="40">
        <v>45633</v>
      </c>
      <c r="B88" s="27">
        <v>9146911483</v>
      </c>
      <c r="C88" s="27">
        <v>9700003949</v>
      </c>
      <c r="D88" s="41">
        <v>4.8899999999999999E-2</v>
      </c>
      <c r="E88" s="41">
        <v>0.245</v>
      </c>
      <c r="F88" s="41">
        <v>4.19E-2</v>
      </c>
      <c r="G88" s="41">
        <v>1.1232</v>
      </c>
      <c r="H88" s="27">
        <v>62382981</v>
      </c>
      <c r="I88" s="27">
        <v>268220459</v>
      </c>
      <c r="J88" s="27">
        <v>34102232</v>
      </c>
      <c r="K88" s="27">
        <v>14059579</v>
      </c>
      <c r="L88" s="41">
        <v>0.9032</v>
      </c>
      <c r="M88" s="41">
        <v>3.4500000000000003E-2</v>
      </c>
      <c r="N88" s="41">
        <v>3.0099999999999998E-2</v>
      </c>
      <c r="O88" s="41">
        <v>1.77E-2</v>
      </c>
      <c r="P88" s="41">
        <v>1.4500000000000001E-2</v>
      </c>
      <c r="Q88" s="27">
        <v>4526853250</v>
      </c>
      <c r="R88" s="27">
        <v>2863095828</v>
      </c>
      <c r="S88" s="27">
        <v>18</v>
      </c>
      <c r="T88" s="27">
        <v>44456970</v>
      </c>
      <c r="U88" s="26">
        <v>0.40710000000000002</v>
      </c>
      <c r="V88" s="26">
        <v>0.39950000000000002</v>
      </c>
      <c r="W88" s="26">
        <v>0.19339999999999999</v>
      </c>
    </row>
    <row r="89" spans="1:23" x14ac:dyDescent="0.35">
      <c r="A89" s="40">
        <v>45640</v>
      </c>
      <c r="B89" s="27">
        <v>9588675796</v>
      </c>
      <c r="C89" s="27">
        <v>9919948455</v>
      </c>
      <c r="D89" s="41">
        <v>4.7300000000000002E-2</v>
      </c>
      <c r="E89" s="41">
        <v>0.2394</v>
      </c>
      <c r="F89" s="41">
        <v>6.1699999999999998E-2</v>
      </c>
      <c r="G89" s="41">
        <v>1.1309</v>
      </c>
      <c r="H89" s="27">
        <v>59021147</v>
      </c>
      <c r="I89" s="27">
        <v>452203395</v>
      </c>
      <c r="J89" s="27">
        <v>40509270</v>
      </c>
      <c r="K89" s="27">
        <v>9841378</v>
      </c>
      <c r="L89" s="41">
        <v>0.89739999999999998</v>
      </c>
      <c r="M89" s="41">
        <v>4.2099999999999999E-2</v>
      </c>
      <c r="N89" s="41">
        <v>2.64E-2</v>
      </c>
      <c r="O89" s="41">
        <v>1.8700000000000001E-2</v>
      </c>
      <c r="P89" s="41">
        <v>1.54E-2</v>
      </c>
      <c r="Q89" s="27">
        <v>4916358723</v>
      </c>
      <c r="R89" s="27">
        <v>2500442265</v>
      </c>
      <c r="S89" s="27">
        <v>15</v>
      </c>
      <c r="T89" s="27">
        <v>22968175</v>
      </c>
      <c r="U89" s="26">
        <v>0.39610000000000001</v>
      </c>
      <c r="V89" s="26">
        <v>0.32450000000000001</v>
      </c>
      <c r="W89" s="26">
        <v>0.27939999999999998</v>
      </c>
    </row>
    <row r="90" spans="1:23" x14ac:dyDescent="0.35">
      <c r="A90" s="40">
        <v>45647</v>
      </c>
      <c r="B90" s="27">
        <v>9143989391</v>
      </c>
      <c r="C90" s="27">
        <v>9704699748</v>
      </c>
      <c r="D90" s="41">
        <v>5.1299999999999998E-2</v>
      </c>
      <c r="E90" s="41">
        <v>0.22059999999999999</v>
      </c>
      <c r="F90" s="41">
        <v>4.6600000000000003E-2</v>
      </c>
      <c r="G90" s="41">
        <v>1.1486000000000001</v>
      </c>
      <c r="H90" s="27">
        <v>65017112</v>
      </c>
      <c r="I90" s="27">
        <v>338205182</v>
      </c>
      <c r="J90" s="27">
        <v>17383419</v>
      </c>
      <c r="K90" s="27">
        <v>28937534</v>
      </c>
      <c r="L90" s="41">
        <v>0.90369999999999995</v>
      </c>
      <c r="M90" s="41">
        <v>3.8600000000000002E-2</v>
      </c>
      <c r="N90" s="41">
        <v>2.7099999999999999E-2</v>
      </c>
      <c r="O90" s="41">
        <v>1.83E-2</v>
      </c>
      <c r="P90" s="41">
        <v>1.23E-2</v>
      </c>
      <c r="Q90" s="27">
        <v>5898133500</v>
      </c>
      <c r="R90" s="27">
        <v>3665716640</v>
      </c>
      <c r="S90" s="27">
        <v>22</v>
      </c>
      <c r="T90" s="27">
        <v>50675238</v>
      </c>
      <c r="U90" s="26">
        <v>0.39560000000000001</v>
      </c>
      <c r="V90" s="26">
        <v>0.30399999999999999</v>
      </c>
      <c r="W90" s="26">
        <v>0.3004</v>
      </c>
    </row>
    <row r="91" spans="1:23" x14ac:dyDescent="0.35">
      <c r="A91" s="40">
        <v>45654</v>
      </c>
      <c r="B91" s="27">
        <v>9839443239</v>
      </c>
      <c r="C91" s="27">
        <v>10365790362</v>
      </c>
      <c r="D91" s="41">
        <v>5.1999999999999998E-2</v>
      </c>
      <c r="E91" s="41">
        <v>0.1837</v>
      </c>
      <c r="F91" s="41">
        <v>5.6399999999999999E-2</v>
      </c>
      <c r="G91" s="41">
        <v>1.1314</v>
      </c>
      <c r="H91" s="27">
        <v>66367747</v>
      </c>
      <c r="I91" s="27">
        <v>320464472</v>
      </c>
      <c r="J91" s="27">
        <v>23404278</v>
      </c>
      <c r="K91" s="27">
        <v>23201145</v>
      </c>
      <c r="L91" s="41">
        <v>0.90600000000000003</v>
      </c>
      <c r="M91" s="41">
        <v>3.44E-2</v>
      </c>
      <c r="N91" s="41">
        <v>3.0099999999999998E-2</v>
      </c>
      <c r="O91" s="41">
        <v>1.6199999999999999E-2</v>
      </c>
      <c r="P91" s="41">
        <v>1.3299999999999999E-2</v>
      </c>
      <c r="Q91" s="27">
        <v>5877769748</v>
      </c>
      <c r="R91" s="27">
        <v>2775519071</v>
      </c>
      <c r="S91" s="27">
        <v>19</v>
      </c>
      <c r="T91" s="27">
        <v>49577832</v>
      </c>
      <c r="U91" s="26">
        <v>0.3574</v>
      </c>
      <c r="V91" s="26">
        <v>0.3977</v>
      </c>
      <c r="W91" s="26">
        <v>0.24490000000000001</v>
      </c>
    </row>
    <row r="92" spans="1:23" x14ac:dyDescent="0.35">
      <c r="A92" s="40">
        <v>45661</v>
      </c>
      <c r="B92" s="27">
        <v>9888130826</v>
      </c>
      <c r="C92" s="27">
        <v>10476581993</v>
      </c>
      <c r="D92" s="41">
        <v>4.7399999999999998E-2</v>
      </c>
      <c r="E92" s="41">
        <v>0.25750000000000001</v>
      </c>
      <c r="F92" s="41">
        <v>5.28E-2</v>
      </c>
      <c r="G92" s="41">
        <v>1.1241000000000001</v>
      </c>
      <c r="H92" s="27">
        <v>58624924</v>
      </c>
      <c r="I92" s="27">
        <v>207009049</v>
      </c>
      <c r="J92" s="27">
        <v>21289139</v>
      </c>
      <c r="K92" s="27">
        <v>33220873</v>
      </c>
      <c r="L92" s="41">
        <v>0.90229999999999999</v>
      </c>
      <c r="M92" s="41">
        <v>3.6700000000000003E-2</v>
      </c>
      <c r="N92" s="41">
        <v>3.1899999999999998E-2</v>
      </c>
      <c r="O92" s="41">
        <v>1.66E-2</v>
      </c>
      <c r="P92" s="41">
        <v>1.24E-2</v>
      </c>
      <c r="Q92" s="27">
        <v>4545265565</v>
      </c>
      <c r="R92" s="27">
        <v>2506177786</v>
      </c>
      <c r="S92" s="27">
        <v>30</v>
      </c>
      <c r="T92" s="27">
        <v>48253658</v>
      </c>
      <c r="U92" s="26">
        <v>0.36120000000000002</v>
      </c>
      <c r="V92" s="26">
        <v>0.34570000000000001</v>
      </c>
      <c r="W92" s="26">
        <v>0.29310000000000003</v>
      </c>
    </row>
    <row r="93" spans="1:23" x14ac:dyDescent="0.35">
      <c r="A93" s="40">
        <v>45668</v>
      </c>
      <c r="B93" s="27">
        <v>10108583193</v>
      </c>
      <c r="C93" s="27">
        <v>10640897946</v>
      </c>
      <c r="D93" s="41">
        <v>4.8800000000000003E-2</v>
      </c>
      <c r="E93" s="41">
        <v>0.2152</v>
      </c>
      <c r="F93" s="41">
        <v>5.8999999999999997E-2</v>
      </c>
      <c r="G93" s="41">
        <v>1.1279999999999999</v>
      </c>
      <c r="H93" s="27">
        <v>58689818</v>
      </c>
      <c r="I93" s="27">
        <v>268072619</v>
      </c>
      <c r="J93" s="27">
        <v>44900571</v>
      </c>
      <c r="K93" s="27">
        <v>10589582</v>
      </c>
      <c r="L93" s="41">
        <v>0.89649999999999996</v>
      </c>
      <c r="M93" s="41">
        <v>4.3099999999999999E-2</v>
      </c>
      <c r="N93" s="41">
        <v>3.1099999999999999E-2</v>
      </c>
      <c r="O93" s="41">
        <v>1.7100000000000001E-2</v>
      </c>
      <c r="P93" s="41">
        <v>1.2200000000000001E-2</v>
      </c>
      <c r="Q93" s="27">
        <v>5769943015</v>
      </c>
      <c r="R93" s="27">
        <v>3477278458</v>
      </c>
      <c r="S93" s="27">
        <v>23</v>
      </c>
      <c r="T93" s="27">
        <v>29922734</v>
      </c>
      <c r="U93" s="26">
        <v>0.38650000000000001</v>
      </c>
      <c r="V93" s="26">
        <v>0.36420000000000002</v>
      </c>
      <c r="W93" s="26">
        <v>0.2492</v>
      </c>
    </row>
    <row r="94" spans="1:23" x14ac:dyDescent="0.35">
      <c r="A94" s="40">
        <v>45675</v>
      </c>
      <c r="B94" s="27">
        <v>9846812357</v>
      </c>
      <c r="C94" s="27">
        <v>10587652723</v>
      </c>
      <c r="D94" s="41">
        <v>5.16E-2</v>
      </c>
      <c r="E94" s="41">
        <v>0.20630000000000001</v>
      </c>
      <c r="F94" s="41">
        <v>5.7200000000000001E-2</v>
      </c>
      <c r="G94" s="41">
        <v>1.1029</v>
      </c>
      <c r="H94" s="27">
        <v>55638226</v>
      </c>
      <c r="I94" s="27">
        <v>154524138</v>
      </c>
      <c r="J94" s="27">
        <v>36392869</v>
      </c>
      <c r="K94" s="27">
        <v>19566463</v>
      </c>
      <c r="L94" s="41">
        <v>0.90259999999999996</v>
      </c>
      <c r="M94" s="41">
        <v>3.5999999999999997E-2</v>
      </c>
      <c r="N94" s="41">
        <v>2.8899999999999999E-2</v>
      </c>
      <c r="O94" s="41">
        <v>1.6299999999999999E-2</v>
      </c>
      <c r="P94" s="41">
        <v>1.6199999999999999E-2</v>
      </c>
      <c r="Q94" s="27">
        <v>5722017320</v>
      </c>
      <c r="R94" s="27">
        <v>3133218717</v>
      </c>
      <c r="S94" s="27">
        <v>34</v>
      </c>
      <c r="T94" s="27">
        <v>86355214</v>
      </c>
      <c r="U94" s="26">
        <v>0.3876</v>
      </c>
      <c r="V94" s="26">
        <v>0.35189999999999999</v>
      </c>
      <c r="W94" s="26">
        <v>0.26050000000000001</v>
      </c>
    </row>
    <row r="95" spans="1:23" x14ac:dyDescent="0.35">
      <c r="A95" s="40">
        <v>45682</v>
      </c>
      <c r="B95" s="27">
        <v>9514901577</v>
      </c>
      <c r="C95" s="27">
        <v>10074119396</v>
      </c>
      <c r="D95" s="41">
        <v>5.3699999999999998E-2</v>
      </c>
      <c r="E95" s="41">
        <v>0.21099999999999999</v>
      </c>
      <c r="F95" s="41">
        <v>4.7300000000000002E-2</v>
      </c>
      <c r="G95" s="41">
        <v>1.1349</v>
      </c>
      <c r="H95" s="27">
        <v>55889378</v>
      </c>
      <c r="I95" s="27">
        <v>430603863</v>
      </c>
      <c r="J95" s="27">
        <v>27939441</v>
      </c>
      <c r="K95" s="27">
        <v>15935436</v>
      </c>
      <c r="L95" s="41">
        <v>0.90459999999999996</v>
      </c>
      <c r="M95" s="41">
        <v>3.5900000000000001E-2</v>
      </c>
      <c r="N95" s="41">
        <v>2.93E-2</v>
      </c>
      <c r="O95" s="41">
        <v>1.54E-2</v>
      </c>
      <c r="P95" s="41">
        <v>1.4800000000000001E-2</v>
      </c>
      <c r="Q95" s="27">
        <v>4914660083</v>
      </c>
      <c r="R95" s="27">
        <v>3024922061</v>
      </c>
      <c r="S95" s="27">
        <v>22</v>
      </c>
      <c r="T95" s="27">
        <v>54403609</v>
      </c>
      <c r="U95" s="26">
        <v>0.40789999999999998</v>
      </c>
      <c r="V95" s="26">
        <v>0.30969999999999998</v>
      </c>
      <c r="W95" s="26">
        <v>0.28239999999999998</v>
      </c>
    </row>
    <row r="96" spans="1:23" x14ac:dyDescent="0.35">
      <c r="A96" s="40">
        <v>45689</v>
      </c>
      <c r="B96" s="27">
        <v>10043917908</v>
      </c>
      <c r="C96" s="27">
        <v>10814804934</v>
      </c>
      <c r="D96" s="41">
        <v>4.9399999999999999E-2</v>
      </c>
      <c r="E96" s="41">
        <v>0.2346</v>
      </c>
      <c r="F96" s="41">
        <v>5.57E-2</v>
      </c>
      <c r="G96" s="41">
        <v>1.0964</v>
      </c>
      <c r="H96" s="27">
        <v>50709431</v>
      </c>
      <c r="I96" s="27">
        <v>217605894</v>
      </c>
      <c r="J96" s="27">
        <v>19657579</v>
      </c>
      <c r="K96" s="27">
        <v>23395748</v>
      </c>
      <c r="L96" s="41">
        <v>0.89529999999999998</v>
      </c>
      <c r="M96" s="41">
        <v>3.9199999999999999E-2</v>
      </c>
      <c r="N96" s="41">
        <v>3.0800000000000001E-2</v>
      </c>
      <c r="O96" s="41">
        <v>1.9099999999999999E-2</v>
      </c>
      <c r="P96" s="41">
        <v>1.5599999999999999E-2</v>
      </c>
      <c r="Q96" s="27">
        <v>5910417761</v>
      </c>
      <c r="R96" s="27">
        <v>3450153269</v>
      </c>
      <c r="S96" s="27">
        <v>17</v>
      </c>
      <c r="T96" s="27">
        <v>29602955</v>
      </c>
      <c r="U96" s="26">
        <v>0.3866</v>
      </c>
      <c r="V96" s="26">
        <v>0.32390000000000002</v>
      </c>
      <c r="W96" s="26">
        <v>0.28949999999999998</v>
      </c>
    </row>
    <row r="97" spans="1:23" x14ac:dyDescent="0.35">
      <c r="A97" s="40">
        <v>45696</v>
      </c>
      <c r="B97" s="27">
        <v>9993901843</v>
      </c>
      <c r="C97" s="27">
        <v>10394720322</v>
      </c>
      <c r="D97" s="41">
        <v>4.9799999999999997E-2</v>
      </c>
      <c r="E97" s="41">
        <v>0.2477</v>
      </c>
      <c r="F97" s="41">
        <v>4.6100000000000002E-2</v>
      </c>
      <c r="G97" s="41">
        <v>1.1167</v>
      </c>
      <c r="H97" s="27">
        <v>49533904</v>
      </c>
      <c r="I97" s="27">
        <v>317586926</v>
      </c>
      <c r="J97" s="27">
        <v>18342199</v>
      </c>
      <c r="K97" s="27">
        <v>6140938</v>
      </c>
      <c r="L97" s="41">
        <v>0.90280000000000005</v>
      </c>
      <c r="M97" s="41">
        <v>3.56E-2</v>
      </c>
      <c r="N97" s="41">
        <v>3.1399999999999997E-2</v>
      </c>
      <c r="O97" s="41">
        <v>1.5900000000000001E-2</v>
      </c>
      <c r="P97" s="41">
        <v>1.4200000000000001E-2</v>
      </c>
      <c r="Q97" s="27">
        <v>4993443041</v>
      </c>
      <c r="R97" s="27">
        <v>2984427439</v>
      </c>
      <c r="S97" s="27">
        <v>29</v>
      </c>
      <c r="T97" s="27">
        <v>62500869</v>
      </c>
      <c r="U97" s="26">
        <v>0.35410000000000003</v>
      </c>
      <c r="V97" s="26">
        <v>0.39340000000000003</v>
      </c>
      <c r="W97" s="26">
        <v>0.2525</v>
      </c>
    </row>
    <row r="98" spans="1:23" x14ac:dyDescent="0.35">
      <c r="A98" s="40">
        <v>45703</v>
      </c>
      <c r="B98" s="27">
        <v>9275329770</v>
      </c>
      <c r="C98" s="27">
        <v>9739966508</v>
      </c>
      <c r="D98" s="41">
        <v>5.45E-2</v>
      </c>
      <c r="E98" s="41">
        <v>0.1958</v>
      </c>
      <c r="F98" s="41">
        <v>5.16E-2</v>
      </c>
      <c r="G98" s="41">
        <v>1.1129</v>
      </c>
      <c r="H98" s="27">
        <v>66285602</v>
      </c>
      <c r="I98" s="27">
        <v>195694279</v>
      </c>
      <c r="J98" s="27">
        <v>42937574</v>
      </c>
      <c r="K98" s="27">
        <v>14486438</v>
      </c>
      <c r="L98" s="41">
        <v>0.89500000000000002</v>
      </c>
      <c r="M98" s="41">
        <v>4.0300000000000002E-2</v>
      </c>
      <c r="N98" s="41">
        <v>3.0800000000000001E-2</v>
      </c>
      <c r="O98" s="41">
        <v>1.9E-2</v>
      </c>
      <c r="P98" s="41">
        <v>1.49E-2</v>
      </c>
      <c r="Q98" s="27">
        <v>5659139610</v>
      </c>
      <c r="R98" s="27">
        <v>2643667135</v>
      </c>
      <c r="S98" s="27">
        <v>15</v>
      </c>
      <c r="T98" s="27">
        <v>40084123</v>
      </c>
      <c r="U98" s="26">
        <v>0.43690000000000001</v>
      </c>
      <c r="V98" s="26">
        <v>0.3332</v>
      </c>
      <c r="W98" s="26">
        <v>0.22989999999999999</v>
      </c>
    </row>
    <row r="99" spans="1:23" x14ac:dyDescent="0.35">
      <c r="A99" s="40">
        <v>45710</v>
      </c>
      <c r="B99" s="27">
        <v>10012962629</v>
      </c>
      <c r="C99" s="27">
        <v>10348588512</v>
      </c>
      <c r="D99" s="41">
        <v>5.3900000000000003E-2</v>
      </c>
      <c r="E99" s="41">
        <v>0.25729999999999997</v>
      </c>
      <c r="F99" s="41">
        <v>6.5699999999999995E-2</v>
      </c>
      <c r="G99" s="41">
        <v>1.1218999999999999</v>
      </c>
      <c r="H99" s="27">
        <v>55648013</v>
      </c>
      <c r="I99" s="27">
        <v>382728325</v>
      </c>
      <c r="J99" s="27">
        <v>33376955</v>
      </c>
      <c r="K99" s="27">
        <v>6684992</v>
      </c>
      <c r="L99" s="41">
        <v>0.8891</v>
      </c>
      <c r="M99" s="41">
        <v>4.5199999999999997E-2</v>
      </c>
      <c r="N99" s="41">
        <v>3.3300000000000003E-2</v>
      </c>
      <c r="O99" s="41">
        <v>1.67E-2</v>
      </c>
      <c r="P99" s="41">
        <v>1.5699999999999999E-2</v>
      </c>
      <c r="Q99" s="27">
        <v>4546537483</v>
      </c>
      <c r="R99" s="27">
        <v>2439644159</v>
      </c>
      <c r="S99" s="27">
        <v>22</v>
      </c>
      <c r="T99" s="27">
        <v>33799710</v>
      </c>
      <c r="U99" s="26">
        <v>0.42170000000000002</v>
      </c>
      <c r="V99" s="26">
        <v>0.3387</v>
      </c>
      <c r="W99" s="26">
        <v>0.23960000000000001</v>
      </c>
    </row>
    <row r="100" spans="1:23" x14ac:dyDescent="0.35">
      <c r="A100" s="40">
        <v>45717</v>
      </c>
      <c r="B100" s="27">
        <v>9243894792</v>
      </c>
      <c r="C100" s="27">
        <v>9581032612</v>
      </c>
      <c r="D100" s="41">
        <v>5.2600000000000001E-2</v>
      </c>
      <c r="E100" s="41">
        <v>0.23799999999999999</v>
      </c>
      <c r="F100" s="41">
        <v>6.1899999999999997E-2</v>
      </c>
      <c r="G100" s="41">
        <v>1.1351</v>
      </c>
      <c r="H100" s="27">
        <v>56526351</v>
      </c>
      <c r="I100" s="27">
        <v>489650747</v>
      </c>
      <c r="J100" s="27">
        <v>16893750</v>
      </c>
      <c r="K100" s="27">
        <v>18412346</v>
      </c>
      <c r="L100" s="41">
        <v>0.89959999999999996</v>
      </c>
      <c r="M100" s="41">
        <v>3.7499999999999999E-2</v>
      </c>
      <c r="N100" s="41">
        <v>2.9399999999999999E-2</v>
      </c>
      <c r="O100" s="41">
        <v>1.7000000000000001E-2</v>
      </c>
      <c r="P100" s="41">
        <v>1.6500000000000001E-2</v>
      </c>
      <c r="Q100" s="27">
        <v>4900059266</v>
      </c>
      <c r="R100" s="27">
        <v>3102460678</v>
      </c>
      <c r="S100" s="27">
        <v>30</v>
      </c>
      <c r="T100" s="27">
        <v>73766695</v>
      </c>
      <c r="U100" s="26">
        <v>0.40550000000000003</v>
      </c>
      <c r="V100" s="26">
        <v>0.35770000000000002</v>
      </c>
      <c r="W100" s="26">
        <v>0.23680000000000001</v>
      </c>
    </row>
    <row r="101" spans="1:23" x14ac:dyDescent="0.35">
      <c r="A101" s="40">
        <v>45724</v>
      </c>
      <c r="B101" s="27">
        <v>9944943796</v>
      </c>
      <c r="C101" s="27">
        <v>10355431231</v>
      </c>
      <c r="D101" s="41">
        <v>5.1700000000000003E-2</v>
      </c>
      <c r="E101" s="41">
        <v>0.19750000000000001</v>
      </c>
      <c r="F101" s="41">
        <v>4.7699999999999999E-2</v>
      </c>
      <c r="G101" s="41">
        <v>1.0916999999999999</v>
      </c>
      <c r="H101" s="27">
        <v>66649663</v>
      </c>
      <c r="I101" s="27">
        <v>325204356</v>
      </c>
      <c r="J101" s="27">
        <v>24688508</v>
      </c>
      <c r="K101" s="27">
        <v>27678892</v>
      </c>
      <c r="L101" s="41">
        <v>0.8992</v>
      </c>
      <c r="M101" s="41">
        <v>3.5200000000000002E-2</v>
      </c>
      <c r="N101" s="41">
        <v>3.2099999999999997E-2</v>
      </c>
      <c r="O101" s="41">
        <v>1.7999999999999999E-2</v>
      </c>
      <c r="P101" s="41">
        <v>1.55E-2</v>
      </c>
      <c r="Q101" s="27">
        <v>5515399592</v>
      </c>
      <c r="R101" s="27">
        <v>3088658057</v>
      </c>
      <c r="S101" s="27">
        <v>16</v>
      </c>
      <c r="T101" s="27">
        <v>24323185</v>
      </c>
      <c r="U101" s="26">
        <v>0.35360000000000003</v>
      </c>
      <c r="V101" s="26">
        <v>0.32300000000000001</v>
      </c>
      <c r="W101" s="26">
        <v>0.32340000000000002</v>
      </c>
    </row>
    <row r="102" spans="1:23" x14ac:dyDescent="0.35">
      <c r="A102" s="40">
        <v>45731</v>
      </c>
      <c r="B102" s="27">
        <v>9756846782</v>
      </c>
      <c r="C102" s="27">
        <v>10475692658</v>
      </c>
      <c r="D102" s="41">
        <v>5.7000000000000002E-2</v>
      </c>
      <c r="E102" s="41">
        <v>0.21479999999999999</v>
      </c>
      <c r="F102" s="41">
        <v>6.59E-2</v>
      </c>
      <c r="G102" s="41">
        <v>1.111</v>
      </c>
      <c r="H102" s="27">
        <v>53975418</v>
      </c>
      <c r="I102" s="27">
        <v>446959798</v>
      </c>
      <c r="J102" s="27">
        <v>16418836</v>
      </c>
      <c r="K102" s="27">
        <v>15921044</v>
      </c>
      <c r="L102" s="41">
        <v>0.89700000000000002</v>
      </c>
      <c r="M102" s="41">
        <v>4.0300000000000002E-2</v>
      </c>
      <c r="N102" s="41">
        <v>3.04E-2</v>
      </c>
      <c r="O102" s="41">
        <v>1.67E-2</v>
      </c>
      <c r="P102" s="41">
        <v>1.5599999999999999E-2</v>
      </c>
      <c r="Q102" s="27">
        <v>4994035646</v>
      </c>
      <c r="R102" s="27">
        <v>2797682801</v>
      </c>
      <c r="S102" s="27">
        <v>19</v>
      </c>
      <c r="T102" s="27">
        <v>32549622</v>
      </c>
      <c r="U102" s="26">
        <v>0.41389999999999999</v>
      </c>
      <c r="V102" s="26">
        <v>0.3407</v>
      </c>
      <c r="W102" s="26">
        <v>0.24540000000000001</v>
      </c>
    </row>
    <row r="103" spans="1:23" x14ac:dyDescent="0.35">
      <c r="A103" s="40">
        <v>45738</v>
      </c>
      <c r="B103" s="27">
        <v>9952835417</v>
      </c>
      <c r="C103" s="27">
        <v>10359187470</v>
      </c>
      <c r="D103" s="41">
        <v>5.4899999999999997E-2</v>
      </c>
      <c r="E103" s="41">
        <v>0.18079999999999999</v>
      </c>
      <c r="F103" s="41">
        <v>4.5499999999999999E-2</v>
      </c>
      <c r="G103" s="41">
        <v>1.1327</v>
      </c>
      <c r="H103" s="27">
        <v>65066698</v>
      </c>
      <c r="I103" s="27">
        <v>477438364</v>
      </c>
      <c r="J103" s="27">
        <v>28332899</v>
      </c>
      <c r="K103" s="27">
        <v>20062178</v>
      </c>
      <c r="L103" s="41">
        <v>0.89090000000000003</v>
      </c>
      <c r="M103" s="41">
        <v>4.3200000000000002E-2</v>
      </c>
      <c r="N103" s="41">
        <v>0.03</v>
      </c>
      <c r="O103" s="41">
        <v>2.0199999999999999E-2</v>
      </c>
      <c r="P103" s="41">
        <v>1.5699999999999999E-2</v>
      </c>
      <c r="Q103" s="27">
        <v>4477943805</v>
      </c>
      <c r="R103" s="27">
        <v>2539586177</v>
      </c>
      <c r="S103" s="27">
        <v>31</v>
      </c>
      <c r="T103" s="27">
        <v>61558510</v>
      </c>
      <c r="U103" s="26">
        <v>0.44019999999999998</v>
      </c>
      <c r="V103" s="26">
        <v>0.32929999999999998</v>
      </c>
      <c r="W103" s="26">
        <v>0.23039999999999999</v>
      </c>
    </row>
    <row r="104" spans="1:23" x14ac:dyDescent="0.35">
      <c r="A104" s="40">
        <v>45745</v>
      </c>
      <c r="B104" s="27">
        <v>9876611682</v>
      </c>
      <c r="C104" s="27">
        <v>10554600616</v>
      </c>
      <c r="D104" s="41">
        <v>5.3199999999999997E-2</v>
      </c>
      <c r="E104" s="41">
        <v>0.20219999999999999</v>
      </c>
      <c r="F104" s="41">
        <v>4.9500000000000002E-2</v>
      </c>
      <c r="G104" s="41">
        <v>1.1192</v>
      </c>
      <c r="H104" s="27">
        <v>69288578</v>
      </c>
      <c r="I104" s="27">
        <v>269518922</v>
      </c>
      <c r="J104" s="27">
        <v>40089734</v>
      </c>
      <c r="K104" s="27">
        <v>23158876</v>
      </c>
      <c r="L104" s="41">
        <v>0.89180000000000004</v>
      </c>
      <c r="M104" s="41">
        <v>4.4200000000000003E-2</v>
      </c>
      <c r="N104" s="41">
        <v>3.0099999999999998E-2</v>
      </c>
      <c r="O104" s="41">
        <v>1.7999999999999999E-2</v>
      </c>
      <c r="P104" s="41">
        <v>1.5900000000000001E-2</v>
      </c>
      <c r="Q104" s="27">
        <v>5743212327</v>
      </c>
      <c r="R104" s="27">
        <v>3261640465</v>
      </c>
      <c r="S104" s="27">
        <v>32</v>
      </c>
      <c r="T104" s="27">
        <v>85680845</v>
      </c>
      <c r="U104" s="26">
        <v>0.41049999999999998</v>
      </c>
      <c r="V104" s="26">
        <v>0.36609999999999998</v>
      </c>
      <c r="W104" s="26">
        <v>0.22339999999999999</v>
      </c>
    </row>
    <row r="105" spans="1:23" x14ac:dyDescent="0.35">
      <c r="A105" s="40">
        <v>45752</v>
      </c>
      <c r="B105" s="27">
        <v>9944489819</v>
      </c>
      <c r="C105" s="27">
        <v>10464668781</v>
      </c>
      <c r="D105" s="41">
        <v>5.4899999999999997E-2</v>
      </c>
      <c r="E105" s="41">
        <v>0.24779999999999999</v>
      </c>
      <c r="F105" s="41">
        <v>5.2900000000000003E-2</v>
      </c>
      <c r="G105" s="41">
        <v>1.1061000000000001</v>
      </c>
      <c r="H105" s="27">
        <v>52667711</v>
      </c>
      <c r="I105" s="27">
        <v>460841444</v>
      </c>
      <c r="J105" s="27">
        <v>40517591</v>
      </c>
      <c r="K105" s="27">
        <v>132548593</v>
      </c>
      <c r="L105" s="41">
        <v>0.88980000000000004</v>
      </c>
      <c r="M105" s="41">
        <v>4.5400000000000003E-2</v>
      </c>
      <c r="N105" s="41">
        <v>2.98E-2</v>
      </c>
      <c r="O105" s="41">
        <v>1.9699999999999999E-2</v>
      </c>
      <c r="P105" s="41">
        <v>1.5299999999999999E-2</v>
      </c>
      <c r="Q105" s="27">
        <v>5800234741</v>
      </c>
      <c r="R105" s="27">
        <v>3007176636</v>
      </c>
      <c r="S105" s="27">
        <v>15</v>
      </c>
      <c r="T105" s="27">
        <v>29976772</v>
      </c>
      <c r="U105" s="26">
        <v>0.41160000000000002</v>
      </c>
      <c r="V105" s="26">
        <v>0.38379999999999997</v>
      </c>
      <c r="W105" s="26">
        <v>0.2046</v>
      </c>
    </row>
    <row r="106" spans="1:23" x14ac:dyDescent="0.35">
      <c r="A106" s="40">
        <v>45759</v>
      </c>
      <c r="B106" s="27">
        <v>9612871737</v>
      </c>
      <c r="C106" s="27">
        <v>10141448322</v>
      </c>
      <c r="D106" s="41">
        <v>5.8900000000000001E-2</v>
      </c>
      <c r="E106" s="41">
        <v>0.1966</v>
      </c>
      <c r="F106" s="41">
        <v>5.7799999999999997E-2</v>
      </c>
      <c r="G106" s="41">
        <v>1.1007</v>
      </c>
      <c r="H106" s="27">
        <v>55733844</v>
      </c>
      <c r="I106" s="27">
        <v>361538514</v>
      </c>
      <c r="J106" s="27">
        <v>27372390</v>
      </c>
      <c r="K106" s="27">
        <v>16278327</v>
      </c>
      <c r="L106" s="41">
        <v>0.89810000000000001</v>
      </c>
      <c r="M106" s="41">
        <v>4.02E-2</v>
      </c>
      <c r="N106" s="41">
        <v>2.9700000000000001E-2</v>
      </c>
      <c r="O106" s="41">
        <v>1.67E-2</v>
      </c>
      <c r="P106" s="41">
        <v>1.5299999999999999E-2</v>
      </c>
      <c r="Q106" s="27">
        <v>5421525881</v>
      </c>
      <c r="R106" s="27">
        <v>2599264020</v>
      </c>
      <c r="S106" s="27">
        <v>33</v>
      </c>
      <c r="T106" s="27">
        <v>81339683</v>
      </c>
      <c r="U106" s="26">
        <v>0.4249</v>
      </c>
      <c r="V106" s="26">
        <v>0.3649</v>
      </c>
      <c r="W106" s="26">
        <v>0.2102</v>
      </c>
    </row>
    <row r="107" spans="1:23" x14ac:dyDescent="0.35">
      <c r="A107" s="40">
        <v>45766</v>
      </c>
      <c r="B107" s="27">
        <v>9342874482</v>
      </c>
      <c r="C107" s="27">
        <v>10069832707</v>
      </c>
      <c r="D107" s="41">
        <v>5.74E-2</v>
      </c>
      <c r="E107" s="41">
        <v>0.1923</v>
      </c>
      <c r="F107" s="41">
        <v>4.5499999999999999E-2</v>
      </c>
      <c r="G107" s="41">
        <v>1.1104000000000001</v>
      </c>
      <c r="H107" s="27">
        <v>57129858</v>
      </c>
      <c r="I107" s="27">
        <v>409883249</v>
      </c>
      <c r="J107" s="27">
        <v>27578746</v>
      </c>
      <c r="K107" s="27">
        <v>14936394</v>
      </c>
      <c r="L107" s="41">
        <v>0.89370000000000005</v>
      </c>
      <c r="M107" s="41">
        <v>3.9100000000000003E-2</v>
      </c>
      <c r="N107" s="41">
        <v>3.2099999999999997E-2</v>
      </c>
      <c r="O107" s="41">
        <v>2.12E-2</v>
      </c>
      <c r="P107" s="41">
        <v>1.3899999999999999E-2</v>
      </c>
      <c r="Q107" s="27">
        <v>4902331208</v>
      </c>
      <c r="R107" s="27">
        <v>3077984046</v>
      </c>
      <c r="S107" s="27">
        <v>28</v>
      </c>
      <c r="T107" s="27">
        <v>51785427</v>
      </c>
      <c r="U107" s="26">
        <v>0.39319999999999999</v>
      </c>
      <c r="V107" s="26">
        <v>0.34139999999999998</v>
      </c>
      <c r="W107" s="26">
        <v>0.26540000000000002</v>
      </c>
    </row>
    <row r="108" spans="1:23" x14ac:dyDescent="0.35">
      <c r="A108" s="40">
        <v>45773</v>
      </c>
      <c r="B108" s="27">
        <v>9529461895</v>
      </c>
      <c r="C108" s="27">
        <v>10047337740</v>
      </c>
      <c r="D108" s="41">
        <v>6.0999999999999999E-2</v>
      </c>
      <c r="E108" s="41">
        <v>0.19189999999999999</v>
      </c>
      <c r="F108" s="41">
        <v>6.5299999999999997E-2</v>
      </c>
      <c r="G108" s="41">
        <v>1.0914999999999999</v>
      </c>
      <c r="H108" s="27">
        <v>62053437</v>
      </c>
      <c r="I108" s="27">
        <v>484971914</v>
      </c>
      <c r="J108" s="27">
        <v>42219207</v>
      </c>
      <c r="K108" s="27">
        <v>26623532</v>
      </c>
      <c r="L108" s="41">
        <v>0.88580000000000003</v>
      </c>
      <c r="M108" s="41">
        <v>4.5100000000000001E-2</v>
      </c>
      <c r="N108" s="41">
        <v>3.2500000000000001E-2</v>
      </c>
      <c r="O108" s="41">
        <v>1.9800000000000002E-2</v>
      </c>
      <c r="P108" s="41">
        <v>1.6899999999999998E-2</v>
      </c>
      <c r="Q108" s="27">
        <v>4996838228</v>
      </c>
      <c r="R108" s="27">
        <v>2251312778</v>
      </c>
      <c r="S108" s="27">
        <v>30</v>
      </c>
      <c r="T108" s="27">
        <v>73035265</v>
      </c>
      <c r="U108" s="26">
        <v>0.44690000000000002</v>
      </c>
      <c r="V108" s="26">
        <v>0.32019999999999998</v>
      </c>
      <c r="W108" s="26">
        <v>0.2329</v>
      </c>
    </row>
    <row r="109" spans="1:23" x14ac:dyDescent="0.35">
      <c r="A109" s="40">
        <v>45780</v>
      </c>
      <c r="B109" s="27">
        <v>9588523259</v>
      </c>
      <c r="C109" s="27">
        <v>10319510991</v>
      </c>
      <c r="D109" s="41">
        <v>5.9400000000000001E-2</v>
      </c>
      <c r="E109" s="41">
        <v>0.18240000000000001</v>
      </c>
      <c r="F109" s="41">
        <v>6.4699999999999994E-2</v>
      </c>
      <c r="G109" s="41">
        <v>1.1238999999999999</v>
      </c>
      <c r="H109" s="27">
        <v>58728031</v>
      </c>
      <c r="I109" s="27">
        <v>432546263</v>
      </c>
      <c r="J109" s="27">
        <v>38275865</v>
      </c>
      <c r="K109" s="27">
        <v>17073782</v>
      </c>
      <c r="L109" s="41">
        <v>0.88719999999999999</v>
      </c>
      <c r="M109" s="41">
        <v>4.4299999999999999E-2</v>
      </c>
      <c r="N109" s="41">
        <v>3.2099999999999997E-2</v>
      </c>
      <c r="O109" s="41">
        <v>1.9599999999999999E-2</v>
      </c>
      <c r="P109" s="41">
        <v>1.6799999999999999E-2</v>
      </c>
      <c r="Q109" s="27">
        <v>5961819625</v>
      </c>
      <c r="R109" s="27">
        <v>3570714130</v>
      </c>
      <c r="S109" s="27">
        <v>30</v>
      </c>
      <c r="T109" s="27">
        <v>62757973</v>
      </c>
      <c r="U109" s="26">
        <v>0.39579999999999999</v>
      </c>
      <c r="V109" s="26">
        <v>0.3322</v>
      </c>
      <c r="W109" s="26">
        <v>0.27200000000000002</v>
      </c>
    </row>
    <row r="110" spans="1:23" x14ac:dyDescent="0.35">
      <c r="A110" s="40">
        <v>45787</v>
      </c>
      <c r="B110" s="27">
        <v>9409131479</v>
      </c>
      <c r="C110" s="27">
        <v>9808563542</v>
      </c>
      <c r="D110" s="41">
        <v>6.13E-2</v>
      </c>
      <c r="E110" s="41">
        <v>0.19</v>
      </c>
      <c r="F110" s="41">
        <v>5.4100000000000002E-2</v>
      </c>
      <c r="G110" s="41">
        <v>1.1145</v>
      </c>
      <c r="H110" s="27">
        <v>60138545</v>
      </c>
      <c r="I110" s="27">
        <v>492235546</v>
      </c>
      <c r="J110" s="27">
        <v>27166349</v>
      </c>
      <c r="K110" s="27">
        <v>10734948</v>
      </c>
      <c r="L110" s="41">
        <v>0.89580000000000004</v>
      </c>
      <c r="M110" s="41">
        <v>3.9300000000000002E-2</v>
      </c>
      <c r="N110" s="41">
        <v>3.0499999999999999E-2</v>
      </c>
      <c r="O110" s="41">
        <v>2.01E-2</v>
      </c>
      <c r="P110" s="41">
        <v>1.44E-2</v>
      </c>
      <c r="Q110" s="27">
        <v>5473638037</v>
      </c>
      <c r="R110" s="27">
        <v>2608132227</v>
      </c>
      <c r="S110" s="27">
        <v>16</v>
      </c>
      <c r="T110" s="27">
        <v>25109905</v>
      </c>
      <c r="U110" s="26">
        <v>0.375</v>
      </c>
      <c r="V110" s="26">
        <v>0.30470000000000003</v>
      </c>
      <c r="W110" s="26">
        <v>0.32029999999999997</v>
      </c>
    </row>
    <row r="111" spans="1:23" x14ac:dyDescent="0.35">
      <c r="A111" s="40">
        <v>45794</v>
      </c>
      <c r="B111" s="27">
        <v>9208735202</v>
      </c>
      <c r="C111" s="27">
        <v>9798536620</v>
      </c>
      <c r="D111" s="41">
        <v>6.25E-2</v>
      </c>
      <c r="E111" s="41">
        <v>0.21529999999999999</v>
      </c>
      <c r="F111" s="41">
        <v>4.7199999999999999E-2</v>
      </c>
      <c r="G111" s="41">
        <v>1.1191</v>
      </c>
      <c r="H111" s="27">
        <v>54659409</v>
      </c>
      <c r="I111" s="27">
        <v>183899665</v>
      </c>
      <c r="J111" s="27">
        <v>22693696</v>
      </c>
      <c r="K111" s="27">
        <v>32546104</v>
      </c>
      <c r="L111" s="41">
        <v>0.88060000000000005</v>
      </c>
      <c r="M111" s="41">
        <v>4.8000000000000001E-2</v>
      </c>
      <c r="N111" s="41">
        <v>3.2899999999999999E-2</v>
      </c>
      <c r="O111" s="41">
        <v>2.0799999999999999E-2</v>
      </c>
      <c r="P111" s="41">
        <v>1.7600000000000001E-2</v>
      </c>
      <c r="Q111" s="27">
        <v>4549572734</v>
      </c>
      <c r="R111" s="27">
        <v>2887674927</v>
      </c>
      <c r="S111" s="27">
        <v>34</v>
      </c>
      <c r="T111" s="27">
        <v>47261583</v>
      </c>
      <c r="U111" s="26">
        <v>0.43049999999999999</v>
      </c>
      <c r="V111" s="26">
        <v>0.37909999999999999</v>
      </c>
      <c r="W111" s="26">
        <v>0.1903</v>
      </c>
    </row>
    <row r="112" spans="1:23" x14ac:dyDescent="0.35">
      <c r="A112" s="40">
        <v>45801</v>
      </c>
      <c r="B112" s="27">
        <v>9225502721</v>
      </c>
      <c r="C112" s="27">
        <v>9570454517</v>
      </c>
      <c r="D112" s="41">
        <v>5.9900000000000002E-2</v>
      </c>
      <c r="E112" s="41">
        <v>0.21379999999999999</v>
      </c>
      <c r="F112" s="41">
        <v>5.9799999999999999E-2</v>
      </c>
      <c r="G112" s="41">
        <v>1.0789</v>
      </c>
      <c r="H112" s="27">
        <v>65597792</v>
      </c>
      <c r="I112" s="27">
        <v>311314722</v>
      </c>
      <c r="J112" s="27">
        <v>35440168</v>
      </c>
      <c r="K112" s="27">
        <v>34782557</v>
      </c>
      <c r="L112" s="41">
        <v>0.8972</v>
      </c>
      <c r="M112" s="41">
        <v>3.8600000000000002E-2</v>
      </c>
      <c r="N112" s="41">
        <v>2.9600000000000001E-2</v>
      </c>
      <c r="O112" s="41">
        <v>1.7600000000000001E-2</v>
      </c>
      <c r="P112" s="41">
        <v>1.7000000000000001E-2</v>
      </c>
      <c r="Q112" s="27">
        <v>4438731538</v>
      </c>
      <c r="R112" s="27">
        <v>2716146368</v>
      </c>
      <c r="S112" s="27">
        <v>15</v>
      </c>
      <c r="T112" s="27">
        <v>20007211</v>
      </c>
      <c r="U112" s="26">
        <v>0.36649999999999999</v>
      </c>
      <c r="V112" s="26">
        <v>0.37419999999999998</v>
      </c>
      <c r="W112" s="26">
        <v>0.25929999999999997</v>
      </c>
    </row>
    <row r="113" spans="1:23" x14ac:dyDescent="0.35">
      <c r="A113" s="40">
        <v>45808</v>
      </c>
      <c r="B113" s="27">
        <v>9845447689</v>
      </c>
      <c r="C113" s="27">
        <v>10567253618</v>
      </c>
      <c r="D113" s="41">
        <v>5.8000000000000003E-2</v>
      </c>
      <c r="E113" s="41">
        <v>0.21229999999999999</v>
      </c>
      <c r="F113" s="41">
        <v>4.99E-2</v>
      </c>
      <c r="G113" s="41">
        <v>1.1137999999999999</v>
      </c>
      <c r="H113" s="27">
        <v>57298614</v>
      </c>
      <c r="I113" s="27">
        <v>389114189</v>
      </c>
      <c r="J113" s="27">
        <v>23814993</v>
      </c>
      <c r="K113" s="27">
        <v>33776553</v>
      </c>
      <c r="L113" s="41">
        <v>0.89849999999999997</v>
      </c>
      <c r="M113" s="41">
        <v>3.7699999999999997E-2</v>
      </c>
      <c r="N113" s="41">
        <v>2.9499999999999998E-2</v>
      </c>
      <c r="O113" s="41">
        <v>1.8700000000000001E-2</v>
      </c>
      <c r="P113" s="41">
        <v>1.5599999999999999E-2</v>
      </c>
      <c r="Q113" s="27">
        <v>4847660230</v>
      </c>
      <c r="R113" s="27">
        <v>2463193858</v>
      </c>
      <c r="S113" s="27">
        <v>33</v>
      </c>
      <c r="T113" s="27">
        <v>90286506</v>
      </c>
      <c r="U113" s="26">
        <v>0.40300000000000002</v>
      </c>
      <c r="V113" s="26">
        <v>0.3916</v>
      </c>
      <c r="W113" s="26">
        <v>0.20530000000000001</v>
      </c>
    </row>
    <row r="114" spans="1:23" x14ac:dyDescent="0.35">
      <c r="A114" s="40">
        <v>45815</v>
      </c>
      <c r="B114" s="27">
        <v>9599385853</v>
      </c>
      <c r="C114" s="27">
        <v>10077193629</v>
      </c>
      <c r="D114" s="41">
        <v>6.0900000000000003E-2</v>
      </c>
      <c r="E114" s="41">
        <v>0.24329999999999999</v>
      </c>
      <c r="F114" s="41">
        <v>4.5499999999999999E-2</v>
      </c>
      <c r="G114" s="41">
        <v>1.1141000000000001</v>
      </c>
      <c r="H114" s="27">
        <v>52935253</v>
      </c>
      <c r="I114" s="27">
        <v>195075257</v>
      </c>
      <c r="J114" s="27">
        <v>38409203</v>
      </c>
      <c r="K114" s="27">
        <v>5539065</v>
      </c>
      <c r="L114" s="41">
        <v>0.88690000000000002</v>
      </c>
      <c r="M114" s="41">
        <v>4.1099999999999998E-2</v>
      </c>
      <c r="N114" s="41">
        <v>3.6700000000000003E-2</v>
      </c>
      <c r="O114" s="41">
        <v>2.01E-2</v>
      </c>
      <c r="P114" s="41">
        <v>1.5299999999999999E-2</v>
      </c>
      <c r="Q114" s="27">
        <v>5024943583</v>
      </c>
      <c r="R114" s="27">
        <v>3150176931</v>
      </c>
      <c r="S114" s="27">
        <v>17</v>
      </c>
      <c r="T114" s="27">
        <v>42654287</v>
      </c>
      <c r="U114" s="26">
        <v>0.42630000000000001</v>
      </c>
      <c r="V114" s="26">
        <v>0.33860000000000001</v>
      </c>
      <c r="W114" s="26">
        <v>0.2351</v>
      </c>
    </row>
    <row r="115" spans="1:23" x14ac:dyDescent="0.35">
      <c r="A115" s="40">
        <v>45822</v>
      </c>
      <c r="B115" s="27">
        <v>9907282526</v>
      </c>
      <c r="C115" s="27">
        <v>10648966858</v>
      </c>
      <c r="D115" s="41">
        <v>6.4600000000000005E-2</v>
      </c>
      <c r="E115" s="41">
        <v>0.251</v>
      </c>
      <c r="F115" s="41">
        <v>4.7500000000000001E-2</v>
      </c>
      <c r="G115" s="41">
        <v>1.0803</v>
      </c>
      <c r="H115" s="27">
        <v>64612861</v>
      </c>
      <c r="I115" s="27">
        <v>363502455</v>
      </c>
      <c r="J115" s="27">
        <v>25240192</v>
      </c>
      <c r="K115" s="27">
        <v>21477566</v>
      </c>
      <c r="L115" s="41">
        <v>0.89180000000000004</v>
      </c>
      <c r="M115" s="41">
        <v>3.9399999999999998E-2</v>
      </c>
      <c r="N115" s="41">
        <v>3.3000000000000002E-2</v>
      </c>
      <c r="O115" s="41">
        <v>1.8800000000000001E-2</v>
      </c>
      <c r="P115" s="41">
        <v>1.6899999999999998E-2</v>
      </c>
      <c r="Q115" s="27">
        <v>5094632920</v>
      </c>
      <c r="R115" s="27">
        <v>2563658560</v>
      </c>
      <c r="S115" s="27">
        <v>32</v>
      </c>
      <c r="T115" s="27">
        <v>57980615</v>
      </c>
      <c r="U115" s="26">
        <v>0.38779999999999998</v>
      </c>
      <c r="V115" s="26">
        <v>0.3407</v>
      </c>
      <c r="W115" s="26">
        <v>0.27150000000000002</v>
      </c>
    </row>
    <row r="116" spans="1:23" x14ac:dyDescent="0.35">
      <c r="A116" s="40">
        <v>45829</v>
      </c>
      <c r="B116" s="27">
        <v>9963611229</v>
      </c>
      <c r="C116" s="27">
        <v>10534122025</v>
      </c>
      <c r="D116" s="41">
        <v>6.1199999999999997E-2</v>
      </c>
      <c r="E116" s="41">
        <v>0.22739999999999999</v>
      </c>
      <c r="F116" s="41">
        <v>6.2899999999999998E-2</v>
      </c>
      <c r="G116" s="41">
        <v>1.0810999999999999</v>
      </c>
      <c r="H116" s="27">
        <v>62391130</v>
      </c>
      <c r="I116" s="27">
        <v>166724969</v>
      </c>
      <c r="J116" s="27">
        <v>40923685</v>
      </c>
      <c r="K116" s="27">
        <v>13820495</v>
      </c>
      <c r="L116" s="41">
        <v>0.88429999999999997</v>
      </c>
      <c r="M116" s="41">
        <v>4.8500000000000001E-2</v>
      </c>
      <c r="N116" s="41">
        <v>3.32E-2</v>
      </c>
      <c r="O116" s="41">
        <v>1.9199999999999998E-2</v>
      </c>
      <c r="P116" s="41">
        <v>1.4800000000000001E-2</v>
      </c>
      <c r="Q116" s="27">
        <v>5122781828</v>
      </c>
      <c r="R116" s="27">
        <v>3004049200</v>
      </c>
      <c r="S116" s="27">
        <v>18</v>
      </c>
      <c r="T116" s="27">
        <v>33072756</v>
      </c>
      <c r="U116" s="26">
        <v>0.40339999999999998</v>
      </c>
      <c r="V116" s="26">
        <v>0.39279999999999998</v>
      </c>
      <c r="W116" s="26">
        <v>0.20380000000000001</v>
      </c>
    </row>
    <row r="117" spans="1:23" x14ac:dyDescent="0.35">
      <c r="A117" s="40">
        <v>45836</v>
      </c>
      <c r="B117" s="27">
        <v>10035247454</v>
      </c>
      <c r="C117" s="27">
        <v>10430014539</v>
      </c>
      <c r="D117" s="41">
        <v>6.5500000000000003E-2</v>
      </c>
      <c r="E117" s="41">
        <v>0.2162</v>
      </c>
      <c r="F117" s="41">
        <v>5.45E-2</v>
      </c>
      <c r="G117" s="41">
        <v>1.0749</v>
      </c>
      <c r="H117" s="27">
        <v>63200484</v>
      </c>
      <c r="I117" s="27">
        <v>401793054</v>
      </c>
      <c r="J117" s="27">
        <v>34910766</v>
      </c>
      <c r="K117" s="27">
        <v>18842179</v>
      </c>
      <c r="L117" s="41">
        <v>0.88480000000000003</v>
      </c>
      <c r="M117" s="41">
        <v>4.3799999999999999E-2</v>
      </c>
      <c r="N117" s="41">
        <v>3.32E-2</v>
      </c>
      <c r="O117" s="41">
        <v>2.1299999999999999E-2</v>
      </c>
      <c r="P117" s="41">
        <v>1.6799999999999999E-2</v>
      </c>
      <c r="Q117" s="27">
        <v>5098343319</v>
      </c>
      <c r="R117" s="27">
        <v>2801260346</v>
      </c>
      <c r="S117" s="27">
        <v>19</v>
      </c>
      <c r="T117" s="27">
        <v>48246168</v>
      </c>
      <c r="U117" s="26">
        <v>0.3629</v>
      </c>
      <c r="V117" s="26">
        <v>0.35160000000000002</v>
      </c>
      <c r="W117" s="26">
        <v>0.28539999999999999</v>
      </c>
    </row>
  </sheetData>
  <mergeCells count="30">
    <mergeCell ref="A1:X1"/>
    <mergeCell ref="A5:X5"/>
    <mergeCell ref="B11:F11"/>
    <mergeCell ref="G11:I11"/>
    <mergeCell ref="J11:K11"/>
    <mergeCell ref="L11:P11"/>
    <mergeCell ref="Q11:T11"/>
    <mergeCell ref="U11:W11"/>
    <mergeCell ref="O6:O10"/>
    <mergeCell ref="P6:P10"/>
    <mergeCell ref="Q6:Q10"/>
    <mergeCell ref="R6:R10"/>
    <mergeCell ref="S6:S10"/>
    <mergeCell ref="T6:T10"/>
    <mergeCell ref="U6:U10"/>
    <mergeCell ref="V6:V10"/>
    <mergeCell ref="W6:W10"/>
    <mergeCell ref="B6:B10"/>
    <mergeCell ref="C6:C10"/>
    <mergeCell ref="D6:D10"/>
    <mergeCell ref="E6:E10"/>
    <mergeCell ref="F6:F10"/>
    <mergeCell ref="G6:G10"/>
    <mergeCell ref="H6:H10"/>
    <mergeCell ref="I6:I10"/>
    <mergeCell ref="J6:J10"/>
    <mergeCell ref="K6:K10"/>
    <mergeCell ref="L6:L10"/>
    <mergeCell ref="M6:M10"/>
    <mergeCell ref="N6:N10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546A"/>
  </sheetPr>
  <dimension ref="A1:F35"/>
  <sheetViews>
    <sheetView zoomScaleNormal="100" workbookViewId="0">
      <selection activeCell="C15" sqref="C15"/>
    </sheetView>
  </sheetViews>
  <sheetFormatPr defaultColWidth="8.6328125" defaultRowHeight="14.5" x14ac:dyDescent="0.35"/>
  <cols>
    <col min="1" max="1" width="24" customWidth="1"/>
    <col min="2" max="6" width="22" customWidth="1"/>
  </cols>
  <sheetData>
    <row r="1" spans="1:6" ht="17.25" customHeight="1" x14ac:dyDescent="0.4">
      <c r="A1" s="115" t="s">
        <v>130</v>
      </c>
      <c r="B1" s="115"/>
      <c r="C1" s="115"/>
      <c r="D1" s="115"/>
      <c r="E1" s="115"/>
      <c r="F1" s="115"/>
    </row>
    <row r="3" spans="1:6" ht="23.25" customHeight="1" x14ac:dyDescent="0.35">
      <c r="A3" s="5" t="s">
        <v>18</v>
      </c>
      <c r="B3" s="5" t="s">
        <v>131</v>
      </c>
      <c r="C3" s="5" t="s">
        <v>132</v>
      </c>
      <c r="D3" s="5" t="s">
        <v>133</v>
      </c>
      <c r="E3" s="5" t="s">
        <v>134</v>
      </c>
      <c r="F3" s="5" t="s">
        <v>135</v>
      </c>
    </row>
    <row r="4" spans="1:6" ht="15" customHeight="1" x14ac:dyDescent="0.35">
      <c r="A4" s="91" t="s">
        <v>136</v>
      </c>
      <c r="B4" s="91"/>
      <c r="C4" s="91"/>
      <c r="D4" s="91"/>
      <c r="E4" s="91"/>
      <c r="F4" s="91"/>
    </row>
    <row r="5" spans="1:6" ht="15" customHeight="1" x14ac:dyDescent="0.35">
      <c r="A5" s="16" t="s">
        <v>137</v>
      </c>
      <c r="B5" s="11" t="s">
        <v>138</v>
      </c>
      <c r="C5" s="11" t="s">
        <v>138</v>
      </c>
      <c r="D5" s="11" t="s">
        <v>138</v>
      </c>
      <c r="E5" s="11" t="s">
        <v>138</v>
      </c>
      <c r="F5" s="11" t="s">
        <v>138</v>
      </c>
    </row>
    <row r="6" spans="1:6" ht="15" customHeight="1" x14ac:dyDescent="0.35">
      <c r="A6" s="16" t="s">
        <v>139</v>
      </c>
      <c r="B6" s="11" t="s">
        <v>140</v>
      </c>
      <c r="C6" s="11" t="s">
        <v>141</v>
      </c>
      <c r="D6" s="11" t="s">
        <v>141</v>
      </c>
      <c r="E6" s="11" t="s">
        <v>141</v>
      </c>
      <c r="F6" s="11" t="s">
        <v>141</v>
      </c>
    </row>
    <row r="7" spans="1:6" ht="15" customHeight="1" x14ac:dyDescent="0.35">
      <c r="A7" s="16" t="s">
        <v>142</v>
      </c>
      <c r="B7" s="11" t="s">
        <v>143</v>
      </c>
      <c r="C7" s="11" t="s">
        <v>144</v>
      </c>
      <c r="D7" s="11" t="s">
        <v>144</v>
      </c>
      <c r="E7" s="11" t="s">
        <v>144</v>
      </c>
      <c r="F7" s="11" t="s">
        <v>143</v>
      </c>
    </row>
    <row r="8" spans="1:6" ht="15" customHeight="1" x14ac:dyDescent="0.35">
      <c r="A8" s="16" t="s">
        <v>145</v>
      </c>
      <c r="B8" s="11" t="s">
        <v>146</v>
      </c>
      <c r="C8" s="11" t="s">
        <v>147</v>
      </c>
      <c r="D8" s="11" t="s">
        <v>148</v>
      </c>
      <c r="E8" s="11" t="s">
        <v>147</v>
      </c>
      <c r="F8" s="11" t="s">
        <v>147</v>
      </c>
    </row>
    <row r="10" spans="1:6" ht="15" customHeight="1" x14ac:dyDescent="0.35">
      <c r="A10" s="91" t="s">
        <v>149</v>
      </c>
      <c r="B10" s="91"/>
      <c r="C10" s="91"/>
      <c r="D10" s="91"/>
      <c r="E10" s="91"/>
      <c r="F10" s="91"/>
    </row>
    <row r="11" spans="1:6" ht="15" customHeight="1" x14ac:dyDescent="0.35">
      <c r="A11" s="16" t="s">
        <v>2</v>
      </c>
      <c r="B11" s="11" t="s">
        <v>10</v>
      </c>
      <c r="C11" s="11" t="s">
        <v>150</v>
      </c>
      <c r="D11" s="11" t="s">
        <v>151</v>
      </c>
      <c r="E11" s="11" t="s">
        <v>11</v>
      </c>
      <c r="F11" s="11" t="s">
        <v>152</v>
      </c>
    </row>
    <row r="12" spans="1:6" ht="15" customHeight="1" x14ac:dyDescent="0.35">
      <c r="A12" s="16" t="s">
        <v>3</v>
      </c>
      <c r="B12" s="11" t="s">
        <v>11</v>
      </c>
      <c r="C12" s="11" t="s">
        <v>11</v>
      </c>
      <c r="D12" s="11" t="s">
        <v>153</v>
      </c>
      <c r="E12" s="11" t="s">
        <v>154</v>
      </c>
      <c r="F12" s="11" t="s">
        <v>11</v>
      </c>
    </row>
    <row r="13" spans="1:6" ht="15" customHeight="1" x14ac:dyDescent="0.35">
      <c r="A13" s="16" t="s">
        <v>4</v>
      </c>
      <c r="B13" s="11" t="s">
        <v>12</v>
      </c>
      <c r="C13" s="11" t="s">
        <v>155</v>
      </c>
      <c r="D13" s="11" t="s">
        <v>156</v>
      </c>
      <c r="E13" s="11" t="s">
        <v>157</v>
      </c>
      <c r="F13" s="11" t="s">
        <v>158</v>
      </c>
    </row>
    <row r="14" spans="1:6" ht="15" customHeight="1" x14ac:dyDescent="0.35">
      <c r="A14" s="16" t="s">
        <v>38</v>
      </c>
      <c r="B14" s="11" t="s">
        <v>159</v>
      </c>
      <c r="C14" s="11" t="s">
        <v>160</v>
      </c>
      <c r="D14" s="11" t="s">
        <v>161</v>
      </c>
      <c r="E14" s="11" t="s">
        <v>162</v>
      </c>
      <c r="F14" s="11" t="s">
        <v>163</v>
      </c>
    </row>
    <row r="15" spans="1:6" ht="15" customHeight="1" x14ac:dyDescent="0.35">
      <c r="A15" s="16" t="s">
        <v>35</v>
      </c>
      <c r="B15" s="11" t="s">
        <v>164</v>
      </c>
      <c r="C15" s="11" t="s">
        <v>165</v>
      </c>
      <c r="D15" s="11" t="s">
        <v>166</v>
      </c>
      <c r="E15" s="11" t="s">
        <v>167</v>
      </c>
      <c r="F15" s="11" t="s">
        <v>168</v>
      </c>
    </row>
    <row r="16" spans="1:6" ht="15" customHeight="1" x14ac:dyDescent="0.35">
      <c r="A16" s="16" t="s">
        <v>37</v>
      </c>
      <c r="B16" s="11" t="s">
        <v>169</v>
      </c>
      <c r="C16" s="11" t="s">
        <v>170</v>
      </c>
      <c r="D16" s="11" t="s">
        <v>171</v>
      </c>
      <c r="E16" s="11" t="s">
        <v>172</v>
      </c>
      <c r="F16" s="11" t="s">
        <v>173</v>
      </c>
    </row>
    <row r="18" spans="1:6" ht="15" customHeight="1" x14ac:dyDescent="0.35">
      <c r="A18" s="91" t="s">
        <v>174</v>
      </c>
      <c r="B18" s="91"/>
      <c r="C18" s="91"/>
      <c r="D18" s="91"/>
      <c r="E18" s="91"/>
      <c r="F18" s="91"/>
    </row>
    <row r="19" spans="1:6" ht="15" customHeight="1" x14ac:dyDescent="0.35">
      <c r="A19" s="16" t="s">
        <v>7</v>
      </c>
      <c r="B19" s="11" t="s">
        <v>15</v>
      </c>
      <c r="C19" s="11" t="s">
        <v>157</v>
      </c>
      <c r="D19" s="11" t="s">
        <v>175</v>
      </c>
      <c r="E19" s="11" t="s">
        <v>176</v>
      </c>
      <c r="F19" s="11" t="s">
        <v>177</v>
      </c>
    </row>
    <row r="20" spans="1:6" ht="15" customHeight="1" x14ac:dyDescent="0.35">
      <c r="A20" s="16" t="s">
        <v>8</v>
      </c>
      <c r="B20" s="11" t="s">
        <v>16</v>
      </c>
      <c r="C20" s="11" t="s">
        <v>178</v>
      </c>
      <c r="D20" s="11" t="s">
        <v>179</v>
      </c>
      <c r="E20" s="11" t="s">
        <v>180</v>
      </c>
      <c r="F20" s="11" t="s">
        <v>181</v>
      </c>
    </row>
    <row r="21" spans="1:6" ht="15" customHeight="1" x14ac:dyDescent="0.35">
      <c r="A21" s="16" t="s">
        <v>9</v>
      </c>
      <c r="B21" s="11" t="s">
        <v>17</v>
      </c>
      <c r="C21" s="11" t="s">
        <v>182</v>
      </c>
      <c r="D21" s="11" t="s">
        <v>183</v>
      </c>
      <c r="E21" s="11" t="s">
        <v>184</v>
      </c>
      <c r="F21" s="11" t="s">
        <v>185</v>
      </c>
    </row>
    <row r="23" spans="1:6" ht="15" customHeight="1" x14ac:dyDescent="0.35">
      <c r="A23" s="91" t="s">
        <v>186</v>
      </c>
      <c r="B23" s="91"/>
      <c r="C23" s="91"/>
      <c r="D23" s="91"/>
      <c r="E23" s="91"/>
      <c r="F23" s="91"/>
    </row>
    <row r="24" spans="1:6" ht="15" customHeight="1" x14ac:dyDescent="0.35">
      <c r="A24" s="16" t="s">
        <v>5</v>
      </c>
      <c r="B24" s="11" t="s">
        <v>13</v>
      </c>
      <c r="C24" s="11" t="s">
        <v>187</v>
      </c>
      <c r="D24" s="11" t="s">
        <v>188</v>
      </c>
      <c r="E24" s="11" t="s">
        <v>189</v>
      </c>
      <c r="F24" s="11" t="s">
        <v>190</v>
      </c>
    </row>
    <row r="25" spans="1:6" ht="15" customHeight="1" x14ac:dyDescent="0.35">
      <c r="A25" s="16" t="s">
        <v>6</v>
      </c>
      <c r="B25" s="11" t="s">
        <v>14</v>
      </c>
      <c r="C25" s="11" t="s">
        <v>191</v>
      </c>
      <c r="D25" s="11" t="s">
        <v>192</v>
      </c>
      <c r="E25" s="11" t="s">
        <v>193</v>
      </c>
      <c r="F25" s="11" t="s">
        <v>147</v>
      </c>
    </row>
    <row r="26" spans="1:6" ht="15" customHeight="1" x14ac:dyDescent="0.35">
      <c r="A26" s="16" t="s">
        <v>194</v>
      </c>
      <c r="B26" s="11" t="s">
        <v>195</v>
      </c>
      <c r="C26" s="11" t="s">
        <v>196</v>
      </c>
      <c r="D26" s="11" t="s">
        <v>197</v>
      </c>
      <c r="E26" s="11" t="s">
        <v>198</v>
      </c>
      <c r="F26" s="11" t="s">
        <v>199</v>
      </c>
    </row>
    <row r="27" spans="1:6" ht="15" customHeight="1" x14ac:dyDescent="0.35">
      <c r="A27" s="16" t="s">
        <v>200</v>
      </c>
      <c r="B27" s="11" t="s">
        <v>201</v>
      </c>
      <c r="C27" s="11" t="s">
        <v>202</v>
      </c>
      <c r="D27" s="11" t="s">
        <v>203</v>
      </c>
      <c r="E27" s="11" t="s">
        <v>204</v>
      </c>
      <c r="F27" s="11" t="s">
        <v>205</v>
      </c>
    </row>
    <row r="28" spans="1:6" ht="15" customHeight="1" x14ac:dyDescent="0.35">
      <c r="A28" s="16" t="s">
        <v>34</v>
      </c>
      <c r="B28" s="11" t="s">
        <v>206</v>
      </c>
      <c r="C28" s="11" t="s">
        <v>206</v>
      </c>
      <c r="D28" s="11" t="s">
        <v>206</v>
      </c>
      <c r="E28" s="11" t="s">
        <v>207</v>
      </c>
      <c r="F28" s="11" t="s">
        <v>206</v>
      </c>
    </row>
    <row r="29" spans="1:6" ht="15" customHeight="1" x14ac:dyDescent="0.35">
      <c r="A29" s="16" t="s">
        <v>208</v>
      </c>
      <c r="B29" s="11" t="s">
        <v>209</v>
      </c>
      <c r="C29" s="11" t="s">
        <v>210</v>
      </c>
      <c r="D29" s="11" t="s">
        <v>211</v>
      </c>
      <c r="E29" s="11" t="s">
        <v>212</v>
      </c>
      <c r="F29" s="11" t="s">
        <v>209</v>
      </c>
    </row>
    <row r="31" spans="1:6" ht="15" customHeight="1" x14ac:dyDescent="0.35">
      <c r="A31" s="91" t="s">
        <v>213</v>
      </c>
      <c r="B31" s="91"/>
      <c r="C31" s="91"/>
      <c r="D31" s="91"/>
      <c r="E31" s="91"/>
      <c r="F31" s="91"/>
    </row>
    <row r="32" spans="1:6" ht="15" customHeight="1" x14ac:dyDescent="0.35">
      <c r="A32" s="16" t="s">
        <v>214</v>
      </c>
      <c r="B32" s="11" t="s">
        <v>215</v>
      </c>
      <c r="C32" s="11" t="s">
        <v>216</v>
      </c>
      <c r="D32" s="11" t="s">
        <v>216</v>
      </c>
      <c r="E32" s="11" t="s">
        <v>217</v>
      </c>
      <c r="F32" s="11" t="s">
        <v>218</v>
      </c>
    </row>
    <row r="33" spans="1:6" ht="15" customHeight="1" x14ac:dyDescent="0.35">
      <c r="A33" s="16" t="s">
        <v>219</v>
      </c>
      <c r="B33" s="11" t="s">
        <v>220</v>
      </c>
      <c r="C33" s="11" t="s">
        <v>221</v>
      </c>
      <c r="D33" s="11" t="s">
        <v>222</v>
      </c>
      <c r="E33" s="11" t="s">
        <v>223</v>
      </c>
      <c r="F33" s="11" t="s">
        <v>224</v>
      </c>
    </row>
    <row r="34" spans="1:6" ht="15" customHeight="1" x14ac:dyDescent="0.35">
      <c r="A34" s="16" t="s">
        <v>225</v>
      </c>
      <c r="B34" s="11" t="s">
        <v>226</v>
      </c>
      <c r="C34" s="11" t="s">
        <v>209</v>
      </c>
      <c r="D34" s="11" t="s">
        <v>227</v>
      </c>
      <c r="E34" s="11" t="s">
        <v>228</v>
      </c>
      <c r="F34" s="11" t="s">
        <v>212</v>
      </c>
    </row>
    <row r="35" spans="1:6" ht="15" customHeight="1" x14ac:dyDescent="0.35">
      <c r="A35" s="16" t="s">
        <v>229</v>
      </c>
      <c r="B35" s="11" t="s">
        <v>147</v>
      </c>
      <c r="C35" s="11" t="s">
        <v>230</v>
      </c>
      <c r="D35" s="11" t="s">
        <v>231</v>
      </c>
      <c r="E35" s="11" t="s">
        <v>14</v>
      </c>
      <c r="F35" s="11" t="s">
        <v>146</v>
      </c>
    </row>
  </sheetData>
  <mergeCells count="6">
    <mergeCell ref="A31:F31"/>
    <mergeCell ref="A1:F1"/>
    <mergeCell ref="A4:F4"/>
    <mergeCell ref="A10:F10"/>
    <mergeCell ref="A18:F18"/>
    <mergeCell ref="A23:F23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2:I391"/>
  <sheetViews>
    <sheetView topLeftCell="L1" zoomScale="90" zoomScaleNormal="90" workbookViewId="0">
      <selection activeCell="Q9" sqref="Q9"/>
    </sheetView>
  </sheetViews>
  <sheetFormatPr defaultColWidth="8.6328125" defaultRowHeight="14.5" x14ac:dyDescent="0.35"/>
  <cols>
    <col min="1" max="2" width="12" customWidth="1"/>
    <col min="3" max="3" width="18" customWidth="1"/>
    <col min="4" max="9" width="12" customWidth="1"/>
  </cols>
  <sheetData>
    <row r="2" spans="1:9" x14ac:dyDescent="0.35">
      <c r="B2" s="88" t="s">
        <v>406</v>
      </c>
      <c r="C2" s="87" t="s">
        <v>407</v>
      </c>
      <c r="D2" s="87" t="s">
        <v>408</v>
      </c>
      <c r="E2" s="88" t="s">
        <v>409</v>
      </c>
      <c r="F2" s="88" t="s">
        <v>410</v>
      </c>
      <c r="G2" s="88" t="s">
        <v>411</v>
      </c>
      <c r="H2" s="87" t="s">
        <v>412</v>
      </c>
      <c r="I2" s="87" t="s">
        <v>413</v>
      </c>
    </row>
    <row r="3" spans="1:9" x14ac:dyDescent="0.35">
      <c r="B3" s="88"/>
      <c r="C3" s="87"/>
      <c r="D3" s="87"/>
      <c r="E3" s="88"/>
      <c r="F3" s="88"/>
      <c r="G3" s="88"/>
      <c r="H3" s="87"/>
      <c r="I3" s="87"/>
    </row>
    <row r="4" spans="1:9" x14ac:dyDescent="0.35">
      <c r="B4" s="88"/>
      <c r="C4" s="87"/>
      <c r="D4" s="87"/>
      <c r="E4" s="88"/>
      <c r="F4" s="88"/>
      <c r="G4" s="88"/>
      <c r="H4" s="87"/>
      <c r="I4" s="87"/>
    </row>
    <row r="5" spans="1:9" x14ac:dyDescent="0.35">
      <c r="B5" s="88"/>
      <c r="C5" s="87"/>
      <c r="D5" s="87"/>
      <c r="E5" s="88"/>
      <c r="F5" s="88"/>
      <c r="G5" s="88"/>
      <c r="H5" s="87"/>
      <c r="I5" s="87"/>
    </row>
    <row r="6" spans="1:9" ht="15" x14ac:dyDescent="0.35">
      <c r="A6" s="49" t="s">
        <v>262</v>
      </c>
      <c r="H6" s="60" t="s">
        <v>468</v>
      </c>
      <c r="I6" s="60" t="s">
        <v>468</v>
      </c>
    </row>
    <row r="7" spans="1:9" ht="23.25" customHeight="1" x14ac:dyDescent="0.35">
      <c r="A7" s="5" t="s">
        <v>40</v>
      </c>
      <c r="B7" s="5" t="s">
        <v>41</v>
      </c>
      <c r="C7" s="5" t="s">
        <v>446</v>
      </c>
      <c r="D7" s="5" t="s">
        <v>142</v>
      </c>
      <c r="E7" s="47" t="s">
        <v>258</v>
      </c>
      <c r="F7" s="5" t="s">
        <v>232</v>
      </c>
      <c r="G7" s="5" t="s">
        <v>233</v>
      </c>
      <c r="H7" s="5" t="s">
        <v>234</v>
      </c>
      <c r="I7" s="5" t="s">
        <v>235</v>
      </c>
    </row>
    <row r="8" spans="1:9" ht="15" customHeight="1" x14ac:dyDescent="0.35">
      <c r="A8" s="11">
        <v>1</v>
      </c>
      <c r="B8" s="12">
        <v>45108</v>
      </c>
      <c r="C8" s="16" t="s">
        <v>236</v>
      </c>
      <c r="D8" s="16" t="s">
        <v>237</v>
      </c>
      <c r="E8" s="16" t="s">
        <v>238</v>
      </c>
      <c r="F8" s="14">
        <v>2.1600000000000001E-2</v>
      </c>
      <c r="G8" s="14">
        <v>0.97840000000000005</v>
      </c>
      <c r="H8" s="13">
        <v>84</v>
      </c>
      <c r="I8" s="13">
        <v>110905695</v>
      </c>
    </row>
    <row r="9" spans="1:9" ht="15" customHeight="1" x14ac:dyDescent="0.35">
      <c r="A9" s="11">
        <v>1</v>
      </c>
      <c r="B9" s="12">
        <v>45108</v>
      </c>
      <c r="C9" s="16" t="s">
        <v>236</v>
      </c>
      <c r="D9" s="16" t="s">
        <v>237</v>
      </c>
      <c r="E9" s="16" t="s">
        <v>239</v>
      </c>
      <c r="F9" s="14">
        <v>0.1023</v>
      </c>
      <c r="G9" s="14">
        <v>0.89770000000000005</v>
      </c>
      <c r="H9" s="13">
        <v>120</v>
      </c>
      <c r="I9" s="13">
        <v>112708441</v>
      </c>
    </row>
    <row r="10" spans="1:9" ht="15" customHeight="1" x14ac:dyDescent="0.35">
      <c r="A10" s="11">
        <v>1</v>
      </c>
      <c r="B10" s="12">
        <v>45108</v>
      </c>
      <c r="C10" s="16" t="s">
        <v>236</v>
      </c>
      <c r="D10" s="16" t="s">
        <v>237</v>
      </c>
      <c r="E10" s="16" t="s">
        <v>240</v>
      </c>
      <c r="F10" s="14">
        <v>0.33739999999999998</v>
      </c>
      <c r="G10" s="14">
        <v>0.66259999999999997</v>
      </c>
      <c r="H10" s="13">
        <v>190</v>
      </c>
      <c r="I10" s="13">
        <v>204302590</v>
      </c>
    </row>
    <row r="11" spans="1:9" ht="15" customHeight="1" x14ac:dyDescent="0.35">
      <c r="A11" s="11">
        <v>1</v>
      </c>
      <c r="B11" s="12">
        <v>45108</v>
      </c>
      <c r="C11" s="16" t="s">
        <v>236</v>
      </c>
      <c r="D11" s="16" t="s">
        <v>237</v>
      </c>
      <c r="E11" s="16" t="s">
        <v>241</v>
      </c>
      <c r="F11" s="14">
        <v>0.73270000000000002</v>
      </c>
      <c r="G11" s="14">
        <v>0.26729999999999998</v>
      </c>
      <c r="H11" s="13">
        <v>181</v>
      </c>
      <c r="I11" s="13">
        <v>455305584</v>
      </c>
    </row>
    <row r="12" spans="1:9" ht="15" customHeight="1" x14ac:dyDescent="0.35">
      <c r="A12" s="11">
        <v>1</v>
      </c>
      <c r="B12" s="12">
        <v>45108</v>
      </c>
      <c r="C12" s="16" t="s">
        <v>236</v>
      </c>
      <c r="D12" s="16" t="s">
        <v>242</v>
      </c>
      <c r="E12" s="16" t="s">
        <v>238</v>
      </c>
      <c r="F12" s="14">
        <v>1.7399999999999999E-2</v>
      </c>
      <c r="G12" s="14">
        <v>0.98260000000000003</v>
      </c>
      <c r="H12" s="13">
        <v>199</v>
      </c>
      <c r="I12" s="13">
        <v>120545375</v>
      </c>
    </row>
    <row r="13" spans="1:9" ht="15" customHeight="1" x14ac:dyDescent="0.35">
      <c r="A13" s="11">
        <v>1</v>
      </c>
      <c r="B13" s="12">
        <v>45108</v>
      </c>
      <c r="C13" s="16" t="s">
        <v>236</v>
      </c>
      <c r="D13" s="16" t="s">
        <v>242</v>
      </c>
      <c r="E13" s="16" t="s">
        <v>239</v>
      </c>
      <c r="F13" s="14">
        <v>0.1027</v>
      </c>
      <c r="G13" s="14">
        <v>0.89729999999999999</v>
      </c>
      <c r="H13" s="13">
        <v>29</v>
      </c>
      <c r="I13" s="13">
        <v>77002976</v>
      </c>
    </row>
    <row r="14" spans="1:9" ht="15" customHeight="1" x14ac:dyDescent="0.35">
      <c r="A14" s="11">
        <v>1</v>
      </c>
      <c r="B14" s="12">
        <v>45108</v>
      </c>
      <c r="C14" s="16" t="s">
        <v>236</v>
      </c>
      <c r="D14" s="16" t="s">
        <v>242</v>
      </c>
      <c r="E14" s="16" t="s">
        <v>240</v>
      </c>
      <c r="F14" s="14">
        <v>0.35799999999999998</v>
      </c>
      <c r="G14" s="14">
        <v>0.64200000000000002</v>
      </c>
      <c r="H14" s="13">
        <v>156</v>
      </c>
      <c r="I14" s="13">
        <v>235724925</v>
      </c>
    </row>
    <row r="15" spans="1:9" ht="15" customHeight="1" x14ac:dyDescent="0.35">
      <c r="A15" s="11">
        <v>1</v>
      </c>
      <c r="B15" s="12">
        <v>45108</v>
      </c>
      <c r="C15" s="16" t="s">
        <v>236</v>
      </c>
      <c r="D15" s="16" t="s">
        <v>242</v>
      </c>
      <c r="E15" s="16" t="s">
        <v>241</v>
      </c>
      <c r="F15" s="14">
        <v>0.75029999999999997</v>
      </c>
      <c r="G15" s="14">
        <v>0.24970000000000001</v>
      </c>
      <c r="H15" s="13">
        <v>84</v>
      </c>
      <c r="I15" s="13">
        <v>66186408</v>
      </c>
    </row>
    <row r="16" spans="1:9" ht="15" customHeight="1" x14ac:dyDescent="0.35">
      <c r="A16" s="11">
        <v>1</v>
      </c>
      <c r="B16" s="12">
        <v>45108</v>
      </c>
      <c r="C16" s="16" t="s">
        <v>236</v>
      </c>
      <c r="D16" s="16" t="s">
        <v>243</v>
      </c>
      <c r="E16" s="16" t="s">
        <v>238</v>
      </c>
      <c r="F16" s="14">
        <v>1.7100000000000001E-2</v>
      </c>
      <c r="G16" s="14">
        <v>0.9829</v>
      </c>
      <c r="H16" s="13">
        <v>93</v>
      </c>
      <c r="I16" s="13">
        <v>86460514</v>
      </c>
    </row>
    <row r="17" spans="1:9" ht="15" customHeight="1" x14ac:dyDescent="0.35">
      <c r="A17" s="11">
        <v>1</v>
      </c>
      <c r="B17" s="12">
        <v>45108</v>
      </c>
      <c r="C17" s="16" t="s">
        <v>236</v>
      </c>
      <c r="D17" s="16" t="s">
        <v>243</v>
      </c>
      <c r="E17" s="16" t="s">
        <v>239</v>
      </c>
      <c r="F17" s="14">
        <v>0.1361</v>
      </c>
      <c r="G17" s="14">
        <v>0.8639</v>
      </c>
      <c r="H17" s="13">
        <v>127</v>
      </c>
      <c r="I17" s="13">
        <v>327668227</v>
      </c>
    </row>
    <row r="18" spans="1:9" ht="15" customHeight="1" x14ac:dyDescent="0.35">
      <c r="A18" s="11">
        <v>1</v>
      </c>
      <c r="B18" s="12">
        <v>45108</v>
      </c>
      <c r="C18" s="16" t="s">
        <v>236</v>
      </c>
      <c r="D18" s="16" t="s">
        <v>243</v>
      </c>
      <c r="E18" s="16" t="s">
        <v>240</v>
      </c>
      <c r="F18" s="14">
        <v>0.39410000000000001</v>
      </c>
      <c r="G18" s="14">
        <v>0.60589999999999999</v>
      </c>
      <c r="H18" s="13">
        <v>32</v>
      </c>
      <c r="I18" s="13">
        <v>50936942</v>
      </c>
    </row>
    <row r="19" spans="1:9" ht="15" customHeight="1" x14ac:dyDescent="0.35">
      <c r="A19" s="11">
        <v>1</v>
      </c>
      <c r="B19" s="12">
        <v>45108</v>
      </c>
      <c r="C19" s="16" t="s">
        <v>236</v>
      </c>
      <c r="D19" s="16" t="s">
        <v>243</v>
      </c>
      <c r="E19" s="16" t="s">
        <v>241</v>
      </c>
      <c r="F19" s="14">
        <v>0.63490000000000002</v>
      </c>
      <c r="G19" s="14">
        <v>0.36509999999999998</v>
      </c>
      <c r="H19" s="13">
        <v>121</v>
      </c>
      <c r="I19" s="13">
        <v>238633565</v>
      </c>
    </row>
    <row r="20" spans="1:9" ht="15" customHeight="1" x14ac:dyDescent="0.35">
      <c r="A20" s="11">
        <v>1</v>
      </c>
      <c r="B20" s="12">
        <v>45108</v>
      </c>
      <c r="C20" s="16" t="s">
        <v>244</v>
      </c>
      <c r="D20" s="16" t="s">
        <v>237</v>
      </c>
      <c r="E20" s="16" t="s">
        <v>238</v>
      </c>
      <c r="F20" s="14">
        <v>2.01E-2</v>
      </c>
      <c r="G20" s="14">
        <v>0.97989999999999999</v>
      </c>
      <c r="H20" s="13">
        <v>111</v>
      </c>
      <c r="I20" s="13">
        <v>297070525</v>
      </c>
    </row>
    <row r="21" spans="1:9" ht="15" customHeight="1" x14ac:dyDescent="0.35">
      <c r="A21" s="11">
        <v>1</v>
      </c>
      <c r="B21" s="12">
        <v>45108</v>
      </c>
      <c r="C21" s="16" t="s">
        <v>244</v>
      </c>
      <c r="D21" s="16" t="s">
        <v>237</v>
      </c>
      <c r="E21" s="16" t="s">
        <v>239</v>
      </c>
      <c r="F21" s="14">
        <v>0.1288</v>
      </c>
      <c r="G21" s="14">
        <v>0.87119999999999997</v>
      </c>
      <c r="H21" s="13">
        <v>66</v>
      </c>
      <c r="I21" s="13">
        <v>87956323</v>
      </c>
    </row>
    <row r="22" spans="1:9" ht="15" customHeight="1" x14ac:dyDescent="0.35">
      <c r="A22" s="11">
        <v>1</v>
      </c>
      <c r="B22" s="12">
        <v>45108</v>
      </c>
      <c r="C22" s="16" t="s">
        <v>244</v>
      </c>
      <c r="D22" s="16" t="s">
        <v>237</v>
      </c>
      <c r="E22" s="16" t="s">
        <v>240</v>
      </c>
      <c r="F22" s="14">
        <v>0.31519999999999998</v>
      </c>
      <c r="G22" s="14">
        <v>0.68479999999999996</v>
      </c>
      <c r="H22" s="13">
        <v>140</v>
      </c>
      <c r="I22" s="13">
        <v>291628633</v>
      </c>
    </row>
    <row r="23" spans="1:9" ht="15" customHeight="1" x14ac:dyDescent="0.35">
      <c r="A23" s="11">
        <v>1</v>
      </c>
      <c r="B23" s="12">
        <v>45108</v>
      </c>
      <c r="C23" s="16" t="s">
        <v>244</v>
      </c>
      <c r="D23" s="16" t="s">
        <v>237</v>
      </c>
      <c r="E23" s="16" t="s">
        <v>241</v>
      </c>
      <c r="F23" s="14">
        <v>0.72660000000000002</v>
      </c>
      <c r="G23" s="14">
        <v>0.27339999999999998</v>
      </c>
      <c r="H23" s="13">
        <v>59</v>
      </c>
      <c r="I23" s="13">
        <v>163123603</v>
      </c>
    </row>
    <row r="24" spans="1:9" ht="15" customHeight="1" x14ac:dyDescent="0.35">
      <c r="A24" s="11">
        <v>1</v>
      </c>
      <c r="B24" s="12">
        <v>45108</v>
      </c>
      <c r="C24" s="16" t="s">
        <v>244</v>
      </c>
      <c r="D24" s="16" t="s">
        <v>242</v>
      </c>
      <c r="E24" s="16" t="s">
        <v>238</v>
      </c>
      <c r="F24" s="14">
        <v>1.9099999999999999E-2</v>
      </c>
      <c r="G24" s="14">
        <v>0.98089999999999999</v>
      </c>
      <c r="H24" s="13">
        <v>196</v>
      </c>
      <c r="I24" s="13">
        <v>567529441</v>
      </c>
    </row>
    <row r="25" spans="1:9" ht="15" customHeight="1" x14ac:dyDescent="0.35">
      <c r="A25" s="11">
        <v>1</v>
      </c>
      <c r="B25" s="12">
        <v>45108</v>
      </c>
      <c r="C25" s="16" t="s">
        <v>244</v>
      </c>
      <c r="D25" s="16" t="s">
        <v>242</v>
      </c>
      <c r="E25" s="16" t="s">
        <v>239</v>
      </c>
      <c r="F25" s="14">
        <v>0.12520000000000001</v>
      </c>
      <c r="G25" s="14">
        <v>0.87480000000000002</v>
      </c>
      <c r="H25" s="13">
        <v>47</v>
      </c>
      <c r="I25" s="13">
        <v>51261590</v>
      </c>
    </row>
    <row r="26" spans="1:9" ht="15" customHeight="1" x14ac:dyDescent="0.35">
      <c r="A26" s="11">
        <v>1</v>
      </c>
      <c r="B26" s="12">
        <v>45108</v>
      </c>
      <c r="C26" s="16" t="s">
        <v>244</v>
      </c>
      <c r="D26" s="16" t="s">
        <v>242</v>
      </c>
      <c r="E26" s="16" t="s">
        <v>240</v>
      </c>
      <c r="F26" s="14">
        <v>0.31290000000000001</v>
      </c>
      <c r="G26" s="14">
        <v>0.68710000000000004</v>
      </c>
      <c r="H26" s="13">
        <v>60</v>
      </c>
      <c r="I26" s="13">
        <v>56024853</v>
      </c>
    </row>
    <row r="27" spans="1:9" ht="15" customHeight="1" x14ac:dyDescent="0.35">
      <c r="A27" s="11">
        <v>1</v>
      </c>
      <c r="B27" s="12">
        <v>45108</v>
      </c>
      <c r="C27" s="16" t="s">
        <v>244</v>
      </c>
      <c r="D27" s="16" t="s">
        <v>242</v>
      </c>
      <c r="E27" s="16" t="s">
        <v>241</v>
      </c>
      <c r="F27" s="14">
        <v>0.64500000000000002</v>
      </c>
      <c r="G27" s="14">
        <v>0.35499999999999998</v>
      </c>
      <c r="H27" s="13">
        <v>177</v>
      </c>
      <c r="I27" s="13">
        <v>121843824</v>
      </c>
    </row>
    <row r="28" spans="1:9" ht="15" customHeight="1" x14ac:dyDescent="0.35">
      <c r="A28" s="11">
        <v>1</v>
      </c>
      <c r="B28" s="12">
        <v>45108</v>
      </c>
      <c r="C28" s="16" t="s">
        <v>244</v>
      </c>
      <c r="D28" s="16" t="s">
        <v>243</v>
      </c>
      <c r="E28" s="16" t="s">
        <v>238</v>
      </c>
      <c r="F28" s="14">
        <v>2.2700000000000001E-2</v>
      </c>
      <c r="G28" s="14">
        <v>0.97729999999999995</v>
      </c>
      <c r="H28" s="13">
        <v>170</v>
      </c>
      <c r="I28" s="13">
        <v>294999736</v>
      </c>
    </row>
    <row r="29" spans="1:9" ht="15" customHeight="1" x14ac:dyDescent="0.35">
      <c r="A29" s="11">
        <v>1</v>
      </c>
      <c r="B29" s="12">
        <v>45108</v>
      </c>
      <c r="C29" s="16" t="s">
        <v>244</v>
      </c>
      <c r="D29" s="16" t="s">
        <v>243</v>
      </c>
      <c r="E29" s="16" t="s">
        <v>239</v>
      </c>
      <c r="F29" s="14">
        <v>0.12920000000000001</v>
      </c>
      <c r="G29" s="14">
        <v>0.87080000000000002</v>
      </c>
      <c r="H29" s="13">
        <v>158</v>
      </c>
      <c r="I29" s="13">
        <v>256317577</v>
      </c>
    </row>
    <row r="30" spans="1:9" ht="15" customHeight="1" x14ac:dyDescent="0.35">
      <c r="A30" s="11">
        <v>1</v>
      </c>
      <c r="B30" s="12">
        <v>45108</v>
      </c>
      <c r="C30" s="16" t="s">
        <v>244</v>
      </c>
      <c r="D30" s="16" t="s">
        <v>243</v>
      </c>
      <c r="E30" s="16" t="s">
        <v>240</v>
      </c>
      <c r="F30" s="14">
        <v>0.39450000000000002</v>
      </c>
      <c r="G30" s="14">
        <v>0.60550000000000004</v>
      </c>
      <c r="H30" s="13">
        <v>154</v>
      </c>
      <c r="I30" s="13">
        <v>324551855</v>
      </c>
    </row>
    <row r="31" spans="1:9" ht="15" customHeight="1" x14ac:dyDescent="0.35">
      <c r="A31" s="11">
        <v>1</v>
      </c>
      <c r="B31" s="12">
        <v>45108</v>
      </c>
      <c r="C31" s="16" t="s">
        <v>244</v>
      </c>
      <c r="D31" s="16" t="s">
        <v>243</v>
      </c>
      <c r="E31" s="16" t="s">
        <v>241</v>
      </c>
      <c r="F31" s="14">
        <v>0.82509999999999994</v>
      </c>
      <c r="G31" s="14">
        <v>0.1749</v>
      </c>
      <c r="H31" s="13">
        <v>92</v>
      </c>
      <c r="I31" s="13">
        <v>244776781</v>
      </c>
    </row>
    <row r="32" spans="1:9" ht="15" customHeight="1" x14ac:dyDescent="0.35">
      <c r="A32" s="11">
        <v>1</v>
      </c>
      <c r="B32" s="12">
        <v>45108</v>
      </c>
      <c r="C32" s="16" t="s">
        <v>245</v>
      </c>
      <c r="D32" s="16" t="s">
        <v>237</v>
      </c>
      <c r="E32" s="16" t="s">
        <v>238</v>
      </c>
      <c r="F32" s="14">
        <v>2.0799999999999999E-2</v>
      </c>
      <c r="G32" s="14">
        <v>0.97919999999999996</v>
      </c>
      <c r="H32" s="13">
        <v>48</v>
      </c>
      <c r="I32" s="13">
        <v>76771538</v>
      </c>
    </row>
    <row r="33" spans="1:9" ht="15" customHeight="1" x14ac:dyDescent="0.35">
      <c r="A33" s="11">
        <v>1</v>
      </c>
      <c r="B33" s="12">
        <v>45108</v>
      </c>
      <c r="C33" s="16" t="s">
        <v>245</v>
      </c>
      <c r="D33" s="16" t="s">
        <v>237</v>
      </c>
      <c r="E33" s="16" t="s">
        <v>239</v>
      </c>
      <c r="F33" s="14">
        <v>0.11890000000000001</v>
      </c>
      <c r="G33" s="14">
        <v>0.88109999999999999</v>
      </c>
      <c r="H33" s="13">
        <v>171</v>
      </c>
      <c r="I33" s="13">
        <v>214955736</v>
      </c>
    </row>
    <row r="34" spans="1:9" ht="15" customHeight="1" x14ac:dyDescent="0.35">
      <c r="A34" s="11">
        <v>1</v>
      </c>
      <c r="B34" s="12">
        <v>45108</v>
      </c>
      <c r="C34" s="16" t="s">
        <v>245</v>
      </c>
      <c r="D34" s="16" t="s">
        <v>237</v>
      </c>
      <c r="E34" s="16" t="s">
        <v>240</v>
      </c>
      <c r="F34" s="14">
        <v>0.32629999999999998</v>
      </c>
      <c r="G34" s="14">
        <v>0.67369999999999997</v>
      </c>
      <c r="H34" s="13">
        <v>24</v>
      </c>
      <c r="I34" s="13">
        <v>33116533</v>
      </c>
    </row>
    <row r="35" spans="1:9" ht="15" customHeight="1" x14ac:dyDescent="0.35">
      <c r="A35" s="11">
        <v>1</v>
      </c>
      <c r="B35" s="12">
        <v>45108</v>
      </c>
      <c r="C35" s="16" t="s">
        <v>245</v>
      </c>
      <c r="D35" s="16" t="s">
        <v>237</v>
      </c>
      <c r="E35" s="16" t="s">
        <v>241</v>
      </c>
      <c r="F35" s="14">
        <v>0.628</v>
      </c>
      <c r="G35" s="14">
        <v>0.372</v>
      </c>
      <c r="H35" s="13">
        <v>128</v>
      </c>
      <c r="I35" s="13">
        <v>208612436</v>
      </c>
    </row>
    <row r="36" spans="1:9" ht="15" customHeight="1" x14ac:dyDescent="0.35">
      <c r="A36" s="11">
        <v>1</v>
      </c>
      <c r="B36" s="12">
        <v>45108</v>
      </c>
      <c r="C36" s="16" t="s">
        <v>245</v>
      </c>
      <c r="D36" s="16" t="s">
        <v>242</v>
      </c>
      <c r="E36" s="16" t="s">
        <v>238</v>
      </c>
      <c r="F36" s="14">
        <v>1.7299999999999999E-2</v>
      </c>
      <c r="G36" s="14">
        <v>0.98270000000000002</v>
      </c>
      <c r="H36" s="13">
        <v>83</v>
      </c>
      <c r="I36" s="13">
        <v>57421683</v>
      </c>
    </row>
    <row r="37" spans="1:9" ht="15" customHeight="1" x14ac:dyDescent="0.35">
      <c r="A37" s="11">
        <v>1</v>
      </c>
      <c r="B37" s="12">
        <v>45108</v>
      </c>
      <c r="C37" s="16" t="s">
        <v>245</v>
      </c>
      <c r="D37" s="16" t="s">
        <v>242</v>
      </c>
      <c r="E37" s="16" t="s">
        <v>239</v>
      </c>
      <c r="F37" s="14">
        <v>0.1331</v>
      </c>
      <c r="G37" s="14">
        <v>0.8669</v>
      </c>
      <c r="H37" s="13">
        <v>33</v>
      </c>
      <c r="I37" s="13">
        <v>67238192</v>
      </c>
    </row>
    <row r="38" spans="1:9" ht="15" customHeight="1" x14ac:dyDescent="0.35">
      <c r="A38" s="11">
        <v>1</v>
      </c>
      <c r="B38" s="12">
        <v>45108</v>
      </c>
      <c r="C38" s="16" t="s">
        <v>245</v>
      </c>
      <c r="D38" s="16" t="s">
        <v>242</v>
      </c>
      <c r="E38" s="16" t="s">
        <v>240</v>
      </c>
      <c r="F38" s="14">
        <v>0.35070000000000001</v>
      </c>
      <c r="G38" s="14">
        <v>0.64929999999999999</v>
      </c>
      <c r="H38" s="13">
        <v>128</v>
      </c>
      <c r="I38" s="13">
        <v>249705410</v>
      </c>
    </row>
    <row r="39" spans="1:9" ht="15" customHeight="1" x14ac:dyDescent="0.35">
      <c r="A39" s="11">
        <v>1</v>
      </c>
      <c r="B39" s="12">
        <v>45108</v>
      </c>
      <c r="C39" s="16" t="s">
        <v>245</v>
      </c>
      <c r="D39" s="16" t="s">
        <v>242</v>
      </c>
      <c r="E39" s="16" t="s">
        <v>241</v>
      </c>
      <c r="F39" s="14">
        <v>0.81810000000000005</v>
      </c>
      <c r="G39" s="14">
        <v>0.18190000000000001</v>
      </c>
      <c r="H39" s="13">
        <v>199</v>
      </c>
      <c r="I39" s="13">
        <v>545198691</v>
      </c>
    </row>
    <row r="40" spans="1:9" ht="15" customHeight="1" x14ac:dyDescent="0.35">
      <c r="A40" s="11">
        <v>1</v>
      </c>
      <c r="B40" s="12">
        <v>45108</v>
      </c>
      <c r="C40" s="16" t="s">
        <v>245</v>
      </c>
      <c r="D40" s="16" t="s">
        <v>243</v>
      </c>
      <c r="E40" s="16" t="s">
        <v>238</v>
      </c>
      <c r="F40" s="14">
        <v>1.9699999999999999E-2</v>
      </c>
      <c r="G40" s="14">
        <v>0.98029999999999995</v>
      </c>
      <c r="H40" s="13">
        <v>156</v>
      </c>
      <c r="I40" s="13">
        <v>332216607</v>
      </c>
    </row>
    <row r="41" spans="1:9" ht="15" customHeight="1" x14ac:dyDescent="0.35">
      <c r="A41" s="11">
        <v>1</v>
      </c>
      <c r="B41" s="12">
        <v>45108</v>
      </c>
      <c r="C41" s="16" t="s">
        <v>245</v>
      </c>
      <c r="D41" s="16" t="s">
        <v>243</v>
      </c>
      <c r="E41" s="16" t="s">
        <v>239</v>
      </c>
      <c r="F41" s="14">
        <v>0.11360000000000001</v>
      </c>
      <c r="G41" s="14">
        <v>0.88639999999999997</v>
      </c>
      <c r="H41" s="13">
        <v>131</v>
      </c>
      <c r="I41" s="13">
        <v>229697791</v>
      </c>
    </row>
    <row r="42" spans="1:9" ht="15" customHeight="1" x14ac:dyDescent="0.35">
      <c r="A42" s="11">
        <v>1</v>
      </c>
      <c r="B42" s="12">
        <v>45108</v>
      </c>
      <c r="C42" s="16" t="s">
        <v>245</v>
      </c>
      <c r="D42" s="16" t="s">
        <v>243</v>
      </c>
      <c r="E42" s="16" t="s">
        <v>240</v>
      </c>
      <c r="F42" s="14">
        <v>0.39810000000000001</v>
      </c>
      <c r="G42" s="14">
        <v>0.60189999999999999</v>
      </c>
      <c r="H42" s="13">
        <v>125</v>
      </c>
      <c r="I42" s="13">
        <v>94844337</v>
      </c>
    </row>
    <row r="43" spans="1:9" ht="15" customHeight="1" x14ac:dyDescent="0.35">
      <c r="A43" s="11">
        <v>1</v>
      </c>
      <c r="B43" s="12">
        <v>45108</v>
      </c>
      <c r="C43" s="16" t="s">
        <v>245</v>
      </c>
      <c r="D43" s="16" t="s">
        <v>243</v>
      </c>
      <c r="E43" s="16" t="s">
        <v>241</v>
      </c>
      <c r="F43" s="14">
        <v>0.80620000000000003</v>
      </c>
      <c r="G43" s="14">
        <v>0.1938</v>
      </c>
      <c r="H43" s="13">
        <v>97</v>
      </c>
      <c r="I43" s="13">
        <v>286728503</v>
      </c>
    </row>
    <row r="44" spans="1:9" ht="15" customHeight="1" x14ac:dyDescent="0.35">
      <c r="A44" s="11">
        <v>1</v>
      </c>
      <c r="B44" s="12">
        <v>45108</v>
      </c>
      <c r="C44" s="16" t="s">
        <v>246</v>
      </c>
      <c r="D44" s="16" t="s">
        <v>237</v>
      </c>
      <c r="E44" s="16" t="s">
        <v>238</v>
      </c>
      <c r="F44" s="14">
        <v>1.7500000000000002E-2</v>
      </c>
      <c r="G44" s="14">
        <v>0.98250000000000004</v>
      </c>
      <c r="H44" s="13">
        <v>175</v>
      </c>
      <c r="I44" s="13">
        <v>162994524</v>
      </c>
    </row>
    <row r="45" spans="1:9" ht="15" customHeight="1" x14ac:dyDescent="0.35">
      <c r="A45" s="11">
        <v>1</v>
      </c>
      <c r="B45" s="12">
        <v>45108</v>
      </c>
      <c r="C45" s="16" t="s">
        <v>246</v>
      </c>
      <c r="D45" s="16" t="s">
        <v>237</v>
      </c>
      <c r="E45" s="16" t="s">
        <v>239</v>
      </c>
      <c r="F45" s="14">
        <v>0.1109</v>
      </c>
      <c r="G45" s="14">
        <v>0.8891</v>
      </c>
      <c r="H45" s="13">
        <v>122</v>
      </c>
      <c r="I45" s="13">
        <v>363250737</v>
      </c>
    </row>
    <row r="46" spans="1:9" ht="15" customHeight="1" x14ac:dyDescent="0.35">
      <c r="A46" s="11">
        <v>1</v>
      </c>
      <c r="B46" s="12">
        <v>45108</v>
      </c>
      <c r="C46" s="16" t="s">
        <v>246</v>
      </c>
      <c r="D46" s="16" t="s">
        <v>237</v>
      </c>
      <c r="E46" s="16" t="s">
        <v>240</v>
      </c>
      <c r="F46" s="14">
        <v>0.35249999999999998</v>
      </c>
      <c r="G46" s="14">
        <v>0.64749999999999996</v>
      </c>
      <c r="H46" s="13">
        <v>166</v>
      </c>
      <c r="I46" s="13">
        <v>148879676</v>
      </c>
    </row>
    <row r="47" spans="1:9" ht="15" customHeight="1" x14ac:dyDescent="0.35">
      <c r="A47" s="11">
        <v>1</v>
      </c>
      <c r="B47" s="12">
        <v>45108</v>
      </c>
      <c r="C47" s="16" t="s">
        <v>246</v>
      </c>
      <c r="D47" s="16" t="s">
        <v>237</v>
      </c>
      <c r="E47" s="16" t="s">
        <v>241</v>
      </c>
      <c r="F47" s="14">
        <v>0.6925</v>
      </c>
      <c r="G47" s="14">
        <v>0.3075</v>
      </c>
      <c r="H47" s="13">
        <v>82</v>
      </c>
      <c r="I47" s="13">
        <v>120420395</v>
      </c>
    </row>
    <row r="48" spans="1:9" ht="15" customHeight="1" x14ac:dyDescent="0.35">
      <c r="A48" s="11">
        <v>1</v>
      </c>
      <c r="B48" s="12">
        <v>45108</v>
      </c>
      <c r="C48" s="16" t="s">
        <v>246</v>
      </c>
      <c r="D48" s="16" t="s">
        <v>242</v>
      </c>
      <c r="E48" s="16" t="s">
        <v>238</v>
      </c>
      <c r="F48" s="14">
        <v>2.1600000000000001E-2</v>
      </c>
      <c r="G48" s="14">
        <v>0.97840000000000005</v>
      </c>
      <c r="H48" s="13">
        <v>183</v>
      </c>
      <c r="I48" s="13">
        <v>365032782</v>
      </c>
    </row>
    <row r="49" spans="1:9" ht="15" customHeight="1" x14ac:dyDescent="0.35">
      <c r="A49" s="11">
        <v>1</v>
      </c>
      <c r="B49" s="12">
        <v>45108</v>
      </c>
      <c r="C49" s="16" t="s">
        <v>246</v>
      </c>
      <c r="D49" s="16" t="s">
        <v>242</v>
      </c>
      <c r="E49" s="16" t="s">
        <v>239</v>
      </c>
      <c r="F49" s="14">
        <v>0.13039999999999999</v>
      </c>
      <c r="G49" s="14">
        <v>0.86960000000000004</v>
      </c>
      <c r="H49" s="13">
        <v>175</v>
      </c>
      <c r="I49" s="13">
        <v>233909089</v>
      </c>
    </row>
    <row r="50" spans="1:9" ht="15" customHeight="1" x14ac:dyDescent="0.35">
      <c r="A50" s="11">
        <v>1</v>
      </c>
      <c r="B50" s="12">
        <v>45108</v>
      </c>
      <c r="C50" s="16" t="s">
        <v>246</v>
      </c>
      <c r="D50" s="16" t="s">
        <v>242</v>
      </c>
      <c r="E50" s="16" t="s">
        <v>240</v>
      </c>
      <c r="F50" s="14">
        <v>0.33210000000000001</v>
      </c>
      <c r="G50" s="14">
        <v>0.66790000000000005</v>
      </c>
      <c r="H50" s="13">
        <v>152</v>
      </c>
      <c r="I50" s="13">
        <v>333784151</v>
      </c>
    </row>
    <row r="51" spans="1:9" ht="15" customHeight="1" x14ac:dyDescent="0.35">
      <c r="A51" s="11">
        <v>1</v>
      </c>
      <c r="B51" s="12">
        <v>45108</v>
      </c>
      <c r="C51" s="16" t="s">
        <v>246</v>
      </c>
      <c r="D51" s="16" t="s">
        <v>242</v>
      </c>
      <c r="E51" s="16" t="s">
        <v>241</v>
      </c>
      <c r="F51" s="14">
        <v>0.6734</v>
      </c>
      <c r="G51" s="14">
        <v>0.3266</v>
      </c>
      <c r="H51" s="13">
        <v>195</v>
      </c>
      <c r="I51" s="13">
        <v>512638552</v>
      </c>
    </row>
    <row r="52" spans="1:9" ht="15" customHeight="1" x14ac:dyDescent="0.35">
      <c r="A52" s="11">
        <v>1</v>
      </c>
      <c r="B52" s="12">
        <v>45108</v>
      </c>
      <c r="C52" s="16" t="s">
        <v>246</v>
      </c>
      <c r="D52" s="16" t="s">
        <v>243</v>
      </c>
      <c r="E52" s="16" t="s">
        <v>238</v>
      </c>
      <c r="F52" s="14">
        <v>2.2800000000000001E-2</v>
      </c>
      <c r="G52" s="14">
        <v>0.97719999999999996</v>
      </c>
      <c r="H52" s="13">
        <v>164</v>
      </c>
      <c r="I52" s="13">
        <v>440044661</v>
      </c>
    </row>
    <row r="53" spans="1:9" ht="15" customHeight="1" x14ac:dyDescent="0.35">
      <c r="A53" s="11">
        <v>1</v>
      </c>
      <c r="B53" s="12">
        <v>45108</v>
      </c>
      <c r="C53" s="16" t="s">
        <v>246</v>
      </c>
      <c r="D53" s="16" t="s">
        <v>243</v>
      </c>
      <c r="E53" s="16" t="s">
        <v>239</v>
      </c>
      <c r="F53" s="14">
        <v>0.114</v>
      </c>
      <c r="G53" s="14">
        <v>0.88600000000000001</v>
      </c>
      <c r="H53" s="13">
        <v>159</v>
      </c>
      <c r="I53" s="13">
        <v>343285812</v>
      </c>
    </row>
    <row r="54" spans="1:9" ht="15" customHeight="1" x14ac:dyDescent="0.35">
      <c r="A54" s="11">
        <v>1</v>
      </c>
      <c r="B54" s="12">
        <v>45108</v>
      </c>
      <c r="C54" s="16" t="s">
        <v>246</v>
      </c>
      <c r="D54" s="16" t="s">
        <v>243</v>
      </c>
      <c r="E54" s="16" t="s">
        <v>240</v>
      </c>
      <c r="F54" s="14">
        <v>0.39379999999999998</v>
      </c>
      <c r="G54" s="14">
        <v>0.60619999999999996</v>
      </c>
      <c r="H54" s="13">
        <v>89</v>
      </c>
      <c r="I54" s="13">
        <v>259812473</v>
      </c>
    </row>
    <row r="55" spans="1:9" ht="15" customHeight="1" x14ac:dyDescent="0.35">
      <c r="A55" s="11">
        <v>1</v>
      </c>
      <c r="B55" s="12">
        <v>45108</v>
      </c>
      <c r="C55" s="16" t="s">
        <v>246</v>
      </c>
      <c r="D55" s="16" t="s">
        <v>243</v>
      </c>
      <c r="E55" s="16" t="s">
        <v>241</v>
      </c>
      <c r="F55" s="14">
        <v>0.76290000000000002</v>
      </c>
      <c r="G55" s="14">
        <v>0.23710000000000001</v>
      </c>
      <c r="H55" s="13">
        <v>110</v>
      </c>
      <c r="I55" s="13">
        <v>90461706</v>
      </c>
    </row>
    <row r="56" spans="1:9" ht="15" customHeight="1" x14ac:dyDescent="0.35">
      <c r="A56" s="11">
        <v>4</v>
      </c>
      <c r="B56" s="12">
        <v>45200</v>
      </c>
      <c r="C56" s="16" t="s">
        <v>236</v>
      </c>
      <c r="D56" s="16" t="s">
        <v>237</v>
      </c>
      <c r="E56" s="16" t="s">
        <v>238</v>
      </c>
      <c r="F56" s="14">
        <v>2.1299999999999999E-2</v>
      </c>
      <c r="G56" s="14">
        <v>0.97870000000000001</v>
      </c>
      <c r="H56" s="13">
        <v>31</v>
      </c>
      <c r="I56" s="13">
        <v>39492596</v>
      </c>
    </row>
    <row r="57" spans="1:9" ht="15" customHeight="1" x14ac:dyDescent="0.35">
      <c r="A57" s="11">
        <v>4</v>
      </c>
      <c r="B57" s="12">
        <v>45200</v>
      </c>
      <c r="C57" s="16" t="s">
        <v>236</v>
      </c>
      <c r="D57" s="16" t="s">
        <v>237</v>
      </c>
      <c r="E57" s="16" t="s">
        <v>239</v>
      </c>
      <c r="F57" s="14">
        <v>0.11559999999999999</v>
      </c>
      <c r="G57" s="14">
        <v>0.88439999999999996</v>
      </c>
      <c r="H57" s="13">
        <v>94</v>
      </c>
      <c r="I57" s="13">
        <v>238098424</v>
      </c>
    </row>
    <row r="58" spans="1:9" ht="15" customHeight="1" x14ac:dyDescent="0.35">
      <c r="A58" s="11">
        <v>4</v>
      </c>
      <c r="B58" s="12">
        <v>45200</v>
      </c>
      <c r="C58" s="16" t="s">
        <v>236</v>
      </c>
      <c r="D58" s="16" t="s">
        <v>237</v>
      </c>
      <c r="E58" s="16" t="s">
        <v>240</v>
      </c>
      <c r="F58" s="14">
        <v>0.3679</v>
      </c>
      <c r="G58" s="14">
        <v>0.6321</v>
      </c>
      <c r="H58" s="13">
        <v>199</v>
      </c>
      <c r="I58" s="13">
        <v>595589146</v>
      </c>
    </row>
    <row r="59" spans="1:9" ht="15" customHeight="1" x14ac:dyDescent="0.35">
      <c r="A59" s="11">
        <v>4</v>
      </c>
      <c r="B59" s="12">
        <v>45200</v>
      </c>
      <c r="C59" s="16" t="s">
        <v>236</v>
      </c>
      <c r="D59" s="16" t="s">
        <v>237</v>
      </c>
      <c r="E59" s="16" t="s">
        <v>241</v>
      </c>
      <c r="F59" s="14">
        <v>0.80910000000000004</v>
      </c>
      <c r="G59" s="14">
        <v>0.19089999999999999</v>
      </c>
      <c r="H59" s="13">
        <v>33</v>
      </c>
      <c r="I59" s="13">
        <v>69797048</v>
      </c>
    </row>
    <row r="60" spans="1:9" ht="15" customHeight="1" x14ac:dyDescent="0.35">
      <c r="A60" s="11">
        <v>4</v>
      </c>
      <c r="B60" s="12">
        <v>45200</v>
      </c>
      <c r="C60" s="16" t="s">
        <v>236</v>
      </c>
      <c r="D60" s="16" t="s">
        <v>242</v>
      </c>
      <c r="E60" s="16" t="s">
        <v>238</v>
      </c>
      <c r="F60" s="14">
        <v>1.95E-2</v>
      </c>
      <c r="G60" s="14">
        <v>0.98050000000000004</v>
      </c>
      <c r="H60" s="13">
        <v>102</v>
      </c>
      <c r="I60" s="13">
        <v>55648787</v>
      </c>
    </row>
    <row r="61" spans="1:9" ht="15" customHeight="1" x14ac:dyDescent="0.35">
      <c r="A61" s="11">
        <v>4</v>
      </c>
      <c r="B61" s="12">
        <v>45200</v>
      </c>
      <c r="C61" s="16" t="s">
        <v>236</v>
      </c>
      <c r="D61" s="16" t="s">
        <v>242</v>
      </c>
      <c r="E61" s="16" t="s">
        <v>239</v>
      </c>
      <c r="F61" s="14">
        <v>0.11310000000000001</v>
      </c>
      <c r="G61" s="14">
        <v>0.88690000000000002</v>
      </c>
      <c r="H61" s="13">
        <v>64</v>
      </c>
      <c r="I61" s="13">
        <v>86677175</v>
      </c>
    </row>
    <row r="62" spans="1:9" ht="15" customHeight="1" x14ac:dyDescent="0.35">
      <c r="A62" s="11">
        <v>4</v>
      </c>
      <c r="B62" s="12">
        <v>45200</v>
      </c>
      <c r="C62" s="16" t="s">
        <v>236</v>
      </c>
      <c r="D62" s="16" t="s">
        <v>242</v>
      </c>
      <c r="E62" s="16" t="s">
        <v>240</v>
      </c>
      <c r="F62" s="14">
        <v>0.37790000000000001</v>
      </c>
      <c r="G62" s="14">
        <v>0.62209999999999999</v>
      </c>
      <c r="H62" s="13">
        <v>59</v>
      </c>
      <c r="I62" s="13">
        <v>62915099</v>
      </c>
    </row>
    <row r="63" spans="1:9" ht="15" customHeight="1" x14ac:dyDescent="0.35">
      <c r="A63" s="11">
        <v>4</v>
      </c>
      <c r="B63" s="12">
        <v>45200</v>
      </c>
      <c r="C63" s="16" t="s">
        <v>236</v>
      </c>
      <c r="D63" s="16" t="s">
        <v>242</v>
      </c>
      <c r="E63" s="16" t="s">
        <v>241</v>
      </c>
      <c r="F63" s="14">
        <v>0.64170000000000005</v>
      </c>
      <c r="G63" s="14">
        <v>0.35830000000000001</v>
      </c>
      <c r="H63" s="13">
        <v>29</v>
      </c>
      <c r="I63" s="13">
        <v>35944927</v>
      </c>
    </row>
    <row r="64" spans="1:9" ht="15" customHeight="1" x14ac:dyDescent="0.35">
      <c r="A64" s="11">
        <v>4</v>
      </c>
      <c r="B64" s="12">
        <v>45200</v>
      </c>
      <c r="C64" s="16" t="s">
        <v>236</v>
      </c>
      <c r="D64" s="16" t="s">
        <v>243</v>
      </c>
      <c r="E64" s="16" t="s">
        <v>238</v>
      </c>
      <c r="F64" s="14">
        <v>2.1700000000000001E-2</v>
      </c>
      <c r="G64" s="14">
        <v>0.97829999999999995</v>
      </c>
      <c r="H64" s="13">
        <v>139</v>
      </c>
      <c r="I64" s="13">
        <v>337378965</v>
      </c>
    </row>
    <row r="65" spans="1:9" ht="15" customHeight="1" x14ac:dyDescent="0.35">
      <c r="A65" s="11">
        <v>4</v>
      </c>
      <c r="B65" s="12">
        <v>45200</v>
      </c>
      <c r="C65" s="16" t="s">
        <v>236</v>
      </c>
      <c r="D65" s="16" t="s">
        <v>243</v>
      </c>
      <c r="E65" s="16" t="s">
        <v>239</v>
      </c>
      <c r="F65" s="14">
        <v>0.1321</v>
      </c>
      <c r="G65" s="14">
        <v>0.8679</v>
      </c>
      <c r="H65" s="13">
        <v>144</v>
      </c>
      <c r="I65" s="13">
        <v>85589097</v>
      </c>
    </row>
    <row r="66" spans="1:9" ht="15" customHeight="1" x14ac:dyDescent="0.35">
      <c r="A66" s="11">
        <v>4</v>
      </c>
      <c r="B66" s="12">
        <v>45200</v>
      </c>
      <c r="C66" s="16" t="s">
        <v>236</v>
      </c>
      <c r="D66" s="16" t="s">
        <v>243</v>
      </c>
      <c r="E66" s="16" t="s">
        <v>240</v>
      </c>
      <c r="F66" s="14">
        <v>0.33289999999999997</v>
      </c>
      <c r="G66" s="14">
        <v>0.66710000000000003</v>
      </c>
      <c r="H66" s="13">
        <v>168</v>
      </c>
      <c r="I66" s="13">
        <v>139040597</v>
      </c>
    </row>
    <row r="67" spans="1:9" ht="15" customHeight="1" x14ac:dyDescent="0.35">
      <c r="A67" s="11">
        <v>4</v>
      </c>
      <c r="B67" s="12">
        <v>45200</v>
      </c>
      <c r="C67" s="16" t="s">
        <v>236</v>
      </c>
      <c r="D67" s="16" t="s">
        <v>243</v>
      </c>
      <c r="E67" s="16" t="s">
        <v>241</v>
      </c>
      <c r="F67" s="14">
        <v>0.69340000000000002</v>
      </c>
      <c r="G67" s="14">
        <v>0.30659999999999998</v>
      </c>
      <c r="H67" s="13">
        <v>51</v>
      </c>
      <c r="I67" s="13">
        <v>48557861</v>
      </c>
    </row>
    <row r="68" spans="1:9" ht="15" customHeight="1" x14ac:dyDescent="0.35">
      <c r="A68" s="11">
        <v>4</v>
      </c>
      <c r="B68" s="12">
        <v>45200</v>
      </c>
      <c r="C68" s="16" t="s">
        <v>244</v>
      </c>
      <c r="D68" s="16" t="s">
        <v>237</v>
      </c>
      <c r="E68" s="16" t="s">
        <v>238</v>
      </c>
      <c r="F68" s="14">
        <v>2.12E-2</v>
      </c>
      <c r="G68" s="14">
        <v>0.9788</v>
      </c>
      <c r="H68" s="13">
        <v>169</v>
      </c>
      <c r="I68" s="13">
        <v>426320972</v>
      </c>
    </row>
    <row r="69" spans="1:9" ht="15" customHeight="1" x14ac:dyDescent="0.35">
      <c r="A69" s="11">
        <v>4</v>
      </c>
      <c r="B69" s="12">
        <v>45200</v>
      </c>
      <c r="C69" s="16" t="s">
        <v>244</v>
      </c>
      <c r="D69" s="16" t="s">
        <v>237</v>
      </c>
      <c r="E69" s="16" t="s">
        <v>239</v>
      </c>
      <c r="F69" s="14">
        <v>0.108</v>
      </c>
      <c r="G69" s="14">
        <v>0.89200000000000002</v>
      </c>
      <c r="H69" s="13">
        <v>122</v>
      </c>
      <c r="I69" s="13">
        <v>74326191</v>
      </c>
    </row>
    <row r="70" spans="1:9" ht="15" customHeight="1" x14ac:dyDescent="0.35">
      <c r="A70" s="11">
        <v>4</v>
      </c>
      <c r="B70" s="12">
        <v>45200</v>
      </c>
      <c r="C70" s="16" t="s">
        <v>244</v>
      </c>
      <c r="D70" s="16" t="s">
        <v>237</v>
      </c>
      <c r="E70" s="16" t="s">
        <v>240</v>
      </c>
      <c r="F70" s="14">
        <v>0.33579999999999999</v>
      </c>
      <c r="G70" s="14">
        <v>0.66420000000000001</v>
      </c>
      <c r="H70" s="13">
        <v>194</v>
      </c>
      <c r="I70" s="13">
        <v>212202148</v>
      </c>
    </row>
    <row r="71" spans="1:9" ht="15" customHeight="1" x14ac:dyDescent="0.35">
      <c r="A71" s="11">
        <v>4</v>
      </c>
      <c r="B71" s="12">
        <v>45200</v>
      </c>
      <c r="C71" s="16" t="s">
        <v>244</v>
      </c>
      <c r="D71" s="16" t="s">
        <v>237</v>
      </c>
      <c r="E71" s="16" t="s">
        <v>241</v>
      </c>
      <c r="F71" s="14">
        <v>0.70789999999999997</v>
      </c>
      <c r="G71" s="14">
        <v>0.29210000000000003</v>
      </c>
      <c r="H71" s="13">
        <v>82</v>
      </c>
      <c r="I71" s="13">
        <v>195240189</v>
      </c>
    </row>
    <row r="72" spans="1:9" ht="15" customHeight="1" x14ac:dyDescent="0.35">
      <c r="A72" s="11">
        <v>4</v>
      </c>
      <c r="B72" s="12">
        <v>45200</v>
      </c>
      <c r="C72" s="16" t="s">
        <v>244</v>
      </c>
      <c r="D72" s="16" t="s">
        <v>242</v>
      </c>
      <c r="E72" s="16" t="s">
        <v>238</v>
      </c>
      <c r="F72" s="14">
        <v>2.1700000000000001E-2</v>
      </c>
      <c r="G72" s="14">
        <v>0.97829999999999995</v>
      </c>
      <c r="H72" s="13">
        <v>69</v>
      </c>
      <c r="I72" s="13">
        <v>126616923</v>
      </c>
    </row>
    <row r="73" spans="1:9" ht="15" customHeight="1" x14ac:dyDescent="0.35">
      <c r="A73" s="11">
        <v>4</v>
      </c>
      <c r="B73" s="12">
        <v>45200</v>
      </c>
      <c r="C73" s="16" t="s">
        <v>244</v>
      </c>
      <c r="D73" s="16" t="s">
        <v>242</v>
      </c>
      <c r="E73" s="16" t="s">
        <v>239</v>
      </c>
      <c r="F73" s="14">
        <v>0.11310000000000001</v>
      </c>
      <c r="G73" s="14">
        <v>0.88690000000000002</v>
      </c>
      <c r="H73" s="13">
        <v>130</v>
      </c>
      <c r="I73" s="13">
        <v>358791660</v>
      </c>
    </row>
    <row r="74" spans="1:9" ht="15" customHeight="1" x14ac:dyDescent="0.35">
      <c r="A74" s="11">
        <v>4</v>
      </c>
      <c r="B74" s="12">
        <v>45200</v>
      </c>
      <c r="C74" s="16" t="s">
        <v>244</v>
      </c>
      <c r="D74" s="16" t="s">
        <v>242</v>
      </c>
      <c r="E74" s="16" t="s">
        <v>240</v>
      </c>
      <c r="F74" s="14">
        <v>0.31790000000000002</v>
      </c>
      <c r="G74" s="14">
        <v>0.68210000000000004</v>
      </c>
      <c r="H74" s="13">
        <v>183</v>
      </c>
      <c r="I74" s="13">
        <v>524812053</v>
      </c>
    </row>
    <row r="75" spans="1:9" ht="15" customHeight="1" x14ac:dyDescent="0.35">
      <c r="A75" s="11">
        <v>4</v>
      </c>
      <c r="B75" s="12">
        <v>45200</v>
      </c>
      <c r="C75" s="16" t="s">
        <v>244</v>
      </c>
      <c r="D75" s="16" t="s">
        <v>242</v>
      </c>
      <c r="E75" s="16" t="s">
        <v>241</v>
      </c>
      <c r="F75" s="14">
        <v>0.8246</v>
      </c>
      <c r="G75" s="14">
        <v>0.1754</v>
      </c>
      <c r="H75" s="13">
        <v>128</v>
      </c>
      <c r="I75" s="13">
        <v>310220337</v>
      </c>
    </row>
    <row r="76" spans="1:9" ht="15" customHeight="1" x14ac:dyDescent="0.35">
      <c r="A76" s="11">
        <v>4</v>
      </c>
      <c r="B76" s="12">
        <v>45200</v>
      </c>
      <c r="C76" s="16" t="s">
        <v>244</v>
      </c>
      <c r="D76" s="16" t="s">
        <v>243</v>
      </c>
      <c r="E76" s="16" t="s">
        <v>238</v>
      </c>
      <c r="F76" s="14">
        <v>2.1700000000000001E-2</v>
      </c>
      <c r="G76" s="14">
        <v>0.97829999999999995</v>
      </c>
      <c r="H76" s="13">
        <v>138</v>
      </c>
      <c r="I76" s="13">
        <v>250973627</v>
      </c>
    </row>
    <row r="77" spans="1:9" ht="15" customHeight="1" x14ac:dyDescent="0.35">
      <c r="A77" s="11">
        <v>4</v>
      </c>
      <c r="B77" s="12">
        <v>45200</v>
      </c>
      <c r="C77" s="16" t="s">
        <v>244</v>
      </c>
      <c r="D77" s="16" t="s">
        <v>243</v>
      </c>
      <c r="E77" s="16" t="s">
        <v>239</v>
      </c>
      <c r="F77" s="14">
        <v>0.1368</v>
      </c>
      <c r="G77" s="14">
        <v>0.86319999999999997</v>
      </c>
      <c r="H77" s="13">
        <v>61</v>
      </c>
      <c r="I77" s="13">
        <v>152692032</v>
      </c>
    </row>
    <row r="78" spans="1:9" ht="15" customHeight="1" x14ac:dyDescent="0.35">
      <c r="A78" s="11">
        <v>4</v>
      </c>
      <c r="B78" s="12">
        <v>45200</v>
      </c>
      <c r="C78" s="16" t="s">
        <v>244</v>
      </c>
      <c r="D78" s="16" t="s">
        <v>243</v>
      </c>
      <c r="E78" s="16" t="s">
        <v>240</v>
      </c>
      <c r="F78" s="14">
        <v>0.312</v>
      </c>
      <c r="G78" s="14">
        <v>0.68799999999999994</v>
      </c>
      <c r="H78" s="13">
        <v>74</v>
      </c>
      <c r="I78" s="13">
        <v>46653264</v>
      </c>
    </row>
    <row r="79" spans="1:9" ht="15" customHeight="1" x14ac:dyDescent="0.35">
      <c r="A79" s="11">
        <v>4</v>
      </c>
      <c r="B79" s="12">
        <v>45200</v>
      </c>
      <c r="C79" s="16" t="s">
        <v>244</v>
      </c>
      <c r="D79" s="16" t="s">
        <v>243</v>
      </c>
      <c r="E79" s="16" t="s">
        <v>241</v>
      </c>
      <c r="F79" s="14">
        <v>0.71579999999999999</v>
      </c>
      <c r="G79" s="14">
        <v>0.28420000000000001</v>
      </c>
      <c r="H79" s="13">
        <v>105</v>
      </c>
      <c r="I79" s="13">
        <v>198066946</v>
      </c>
    </row>
    <row r="80" spans="1:9" ht="15" customHeight="1" x14ac:dyDescent="0.35">
      <c r="A80" s="11">
        <v>4</v>
      </c>
      <c r="B80" s="12">
        <v>45200</v>
      </c>
      <c r="C80" s="16" t="s">
        <v>245</v>
      </c>
      <c r="D80" s="16" t="s">
        <v>237</v>
      </c>
      <c r="E80" s="16" t="s">
        <v>238</v>
      </c>
      <c r="F80" s="14">
        <v>1.7600000000000001E-2</v>
      </c>
      <c r="G80" s="14">
        <v>0.98240000000000005</v>
      </c>
      <c r="H80" s="13">
        <v>142</v>
      </c>
      <c r="I80" s="13">
        <v>373163947</v>
      </c>
    </row>
    <row r="81" spans="1:9" ht="15" customHeight="1" x14ac:dyDescent="0.35">
      <c r="A81" s="11">
        <v>4</v>
      </c>
      <c r="B81" s="12">
        <v>45200</v>
      </c>
      <c r="C81" s="16" t="s">
        <v>245</v>
      </c>
      <c r="D81" s="16" t="s">
        <v>237</v>
      </c>
      <c r="E81" s="16" t="s">
        <v>239</v>
      </c>
      <c r="F81" s="14">
        <v>0.1123</v>
      </c>
      <c r="G81" s="14">
        <v>0.88770000000000004</v>
      </c>
      <c r="H81" s="13">
        <v>51</v>
      </c>
      <c r="I81" s="13">
        <v>60280891</v>
      </c>
    </row>
    <row r="82" spans="1:9" ht="15" customHeight="1" x14ac:dyDescent="0.35">
      <c r="A82" s="11">
        <v>4</v>
      </c>
      <c r="B82" s="12">
        <v>45200</v>
      </c>
      <c r="C82" s="16" t="s">
        <v>245</v>
      </c>
      <c r="D82" s="16" t="s">
        <v>237</v>
      </c>
      <c r="E82" s="16" t="s">
        <v>240</v>
      </c>
      <c r="F82" s="14">
        <v>0.3926</v>
      </c>
      <c r="G82" s="14">
        <v>0.60740000000000005</v>
      </c>
      <c r="H82" s="13">
        <v>47</v>
      </c>
      <c r="I82" s="13">
        <v>121147989</v>
      </c>
    </row>
    <row r="83" spans="1:9" ht="15" customHeight="1" x14ac:dyDescent="0.35">
      <c r="A83" s="11">
        <v>4</v>
      </c>
      <c r="B83" s="12">
        <v>45200</v>
      </c>
      <c r="C83" s="16" t="s">
        <v>245</v>
      </c>
      <c r="D83" s="16" t="s">
        <v>237</v>
      </c>
      <c r="E83" s="16" t="s">
        <v>241</v>
      </c>
      <c r="F83" s="14">
        <v>0.63180000000000003</v>
      </c>
      <c r="G83" s="14">
        <v>0.36820000000000003</v>
      </c>
      <c r="H83" s="13">
        <v>66</v>
      </c>
      <c r="I83" s="13">
        <v>167756037</v>
      </c>
    </row>
    <row r="84" spans="1:9" ht="15" customHeight="1" x14ac:dyDescent="0.35">
      <c r="A84" s="11">
        <v>4</v>
      </c>
      <c r="B84" s="12">
        <v>45200</v>
      </c>
      <c r="C84" s="16" t="s">
        <v>245</v>
      </c>
      <c r="D84" s="16" t="s">
        <v>242</v>
      </c>
      <c r="E84" s="16" t="s">
        <v>238</v>
      </c>
      <c r="F84" s="14">
        <v>2.23E-2</v>
      </c>
      <c r="G84" s="14">
        <v>0.97770000000000001</v>
      </c>
      <c r="H84" s="13">
        <v>16</v>
      </c>
      <c r="I84" s="13">
        <v>24595876</v>
      </c>
    </row>
    <row r="85" spans="1:9" ht="15" customHeight="1" x14ac:dyDescent="0.35">
      <c r="A85" s="11">
        <v>4</v>
      </c>
      <c r="B85" s="12">
        <v>45200</v>
      </c>
      <c r="C85" s="16" t="s">
        <v>245</v>
      </c>
      <c r="D85" s="16" t="s">
        <v>242</v>
      </c>
      <c r="E85" s="16" t="s">
        <v>239</v>
      </c>
      <c r="F85" s="14">
        <v>0.1163</v>
      </c>
      <c r="G85" s="14">
        <v>0.88370000000000004</v>
      </c>
      <c r="H85" s="13">
        <v>105</v>
      </c>
      <c r="I85" s="13">
        <v>114391744</v>
      </c>
    </row>
    <row r="86" spans="1:9" ht="15" customHeight="1" x14ac:dyDescent="0.35">
      <c r="A86" s="11">
        <v>4</v>
      </c>
      <c r="B86" s="12">
        <v>45200</v>
      </c>
      <c r="C86" s="16" t="s">
        <v>245</v>
      </c>
      <c r="D86" s="16" t="s">
        <v>242</v>
      </c>
      <c r="E86" s="16" t="s">
        <v>240</v>
      </c>
      <c r="F86" s="14">
        <v>0.40189999999999998</v>
      </c>
      <c r="G86" s="14">
        <v>0.59809999999999997</v>
      </c>
      <c r="H86" s="13">
        <v>105</v>
      </c>
      <c r="I86" s="13">
        <v>111441424</v>
      </c>
    </row>
    <row r="87" spans="1:9" ht="15" customHeight="1" x14ac:dyDescent="0.35">
      <c r="A87" s="11">
        <v>4</v>
      </c>
      <c r="B87" s="12">
        <v>45200</v>
      </c>
      <c r="C87" s="16" t="s">
        <v>245</v>
      </c>
      <c r="D87" s="16" t="s">
        <v>242</v>
      </c>
      <c r="E87" s="16" t="s">
        <v>241</v>
      </c>
      <c r="F87" s="14">
        <v>0.68079999999999996</v>
      </c>
      <c r="G87" s="14">
        <v>0.31919999999999998</v>
      </c>
      <c r="H87" s="13">
        <v>35</v>
      </c>
      <c r="I87" s="13">
        <v>90927925</v>
      </c>
    </row>
    <row r="88" spans="1:9" ht="15" customHeight="1" x14ac:dyDescent="0.35">
      <c r="A88" s="11">
        <v>4</v>
      </c>
      <c r="B88" s="12">
        <v>45200</v>
      </c>
      <c r="C88" s="16" t="s">
        <v>245</v>
      </c>
      <c r="D88" s="16" t="s">
        <v>243</v>
      </c>
      <c r="E88" s="16" t="s">
        <v>238</v>
      </c>
      <c r="F88" s="14">
        <v>2.0899999999999998E-2</v>
      </c>
      <c r="G88" s="14">
        <v>0.97909999999999997</v>
      </c>
      <c r="H88" s="13">
        <v>47</v>
      </c>
      <c r="I88" s="13">
        <v>39667952</v>
      </c>
    </row>
    <row r="89" spans="1:9" ht="15" customHeight="1" x14ac:dyDescent="0.35">
      <c r="A89" s="11">
        <v>4</v>
      </c>
      <c r="B89" s="12">
        <v>45200</v>
      </c>
      <c r="C89" s="16" t="s">
        <v>245</v>
      </c>
      <c r="D89" s="16" t="s">
        <v>243</v>
      </c>
      <c r="E89" s="16" t="s">
        <v>239</v>
      </c>
      <c r="F89" s="14">
        <v>0.1123</v>
      </c>
      <c r="G89" s="14">
        <v>0.88770000000000004</v>
      </c>
      <c r="H89" s="13">
        <v>130</v>
      </c>
      <c r="I89" s="13">
        <v>291223396</v>
      </c>
    </row>
    <row r="90" spans="1:9" ht="15" customHeight="1" x14ac:dyDescent="0.35">
      <c r="A90" s="11">
        <v>4</v>
      </c>
      <c r="B90" s="12">
        <v>45200</v>
      </c>
      <c r="C90" s="16" t="s">
        <v>245</v>
      </c>
      <c r="D90" s="16" t="s">
        <v>243</v>
      </c>
      <c r="E90" s="16" t="s">
        <v>240</v>
      </c>
      <c r="F90" s="14">
        <v>0.31209999999999999</v>
      </c>
      <c r="G90" s="14">
        <v>0.68789999999999996</v>
      </c>
      <c r="H90" s="13">
        <v>190</v>
      </c>
      <c r="I90" s="13">
        <v>317827310</v>
      </c>
    </row>
    <row r="91" spans="1:9" ht="15" customHeight="1" x14ac:dyDescent="0.35">
      <c r="A91" s="11">
        <v>4</v>
      </c>
      <c r="B91" s="12">
        <v>45200</v>
      </c>
      <c r="C91" s="16" t="s">
        <v>245</v>
      </c>
      <c r="D91" s="16" t="s">
        <v>243</v>
      </c>
      <c r="E91" s="16" t="s">
        <v>241</v>
      </c>
      <c r="F91" s="14">
        <v>0.74490000000000001</v>
      </c>
      <c r="G91" s="14">
        <v>0.25509999999999999</v>
      </c>
      <c r="H91" s="13">
        <v>30</v>
      </c>
      <c r="I91" s="13">
        <v>16425291</v>
      </c>
    </row>
    <row r="92" spans="1:9" ht="15" customHeight="1" x14ac:dyDescent="0.35">
      <c r="A92" s="11">
        <v>4</v>
      </c>
      <c r="B92" s="12">
        <v>45200</v>
      </c>
      <c r="C92" s="16" t="s">
        <v>246</v>
      </c>
      <c r="D92" s="16" t="s">
        <v>237</v>
      </c>
      <c r="E92" s="16" t="s">
        <v>238</v>
      </c>
      <c r="F92" s="14">
        <v>1.83E-2</v>
      </c>
      <c r="G92" s="14">
        <v>0.98170000000000002</v>
      </c>
      <c r="H92" s="13">
        <v>48</v>
      </c>
      <c r="I92" s="13">
        <v>89856509</v>
      </c>
    </row>
    <row r="93" spans="1:9" ht="15" customHeight="1" x14ac:dyDescent="0.35">
      <c r="A93" s="11">
        <v>4</v>
      </c>
      <c r="B93" s="12">
        <v>45200</v>
      </c>
      <c r="C93" s="16" t="s">
        <v>246</v>
      </c>
      <c r="D93" s="16" t="s">
        <v>237</v>
      </c>
      <c r="E93" s="16" t="s">
        <v>239</v>
      </c>
      <c r="F93" s="14">
        <v>0.12820000000000001</v>
      </c>
      <c r="G93" s="14">
        <v>0.87180000000000002</v>
      </c>
      <c r="H93" s="13">
        <v>145</v>
      </c>
      <c r="I93" s="13">
        <v>225929850</v>
      </c>
    </row>
    <row r="94" spans="1:9" ht="15" customHeight="1" x14ac:dyDescent="0.35">
      <c r="A94" s="11">
        <v>4</v>
      </c>
      <c r="B94" s="12">
        <v>45200</v>
      </c>
      <c r="C94" s="16" t="s">
        <v>246</v>
      </c>
      <c r="D94" s="16" t="s">
        <v>237</v>
      </c>
      <c r="E94" s="16" t="s">
        <v>240</v>
      </c>
      <c r="F94" s="14">
        <v>0.379</v>
      </c>
      <c r="G94" s="14">
        <v>0.621</v>
      </c>
      <c r="H94" s="13">
        <v>70</v>
      </c>
      <c r="I94" s="13">
        <v>87701459</v>
      </c>
    </row>
    <row r="95" spans="1:9" ht="15" customHeight="1" x14ac:dyDescent="0.35">
      <c r="A95" s="11">
        <v>4</v>
      </c>
      <c r="B95" s="12">
        <v>45200</v>
      </c>
      <c r="C95" s="16" t="s">
        <v>246</v>
      </c>
      <c r="D95" s="16" t="s">
        <v>237</v>
      </c>
      <c r="E95" s="16" t="s">
        <v>241</v>
      </c>
      <c r="F95" s="14">
        <v>0.62229999999999996</v>
      </c>
      <c r="G95" s="14">
        <v>0.37769999999999998</v>
      </c>
      <c r="H95" s="13">
        <v>117</v>
      </c>
      <c r="I95" s="13">
        <v>245393382</v>
      </c>
    </row>
    <row r="96" spans="1:9" ht="15" customHeight="1" x14ac:dyDescent="0.35">
      <c r="A96" s="11">
        <v>4</v>
      </c>
      <c r="B96" s="12">
        <v>45200</v>
      </c>
      <c r="C96" s="16" t="s">
        <v>246</v>
      </c>
      <c r="D96" s="16" t="s">
        <v>242</v>
      </c>
      <c r="E96" s="16" t="s">
        <v>238</v>
      </c>
      <c r="F96" s="14">
        <v>2.07E-2</v>
      </c>
      <c r="G96" s="14">
        <v>0.97929999999999995</v>
      </c>
      <c r="H96" s="13">
        <v>26</v>
      </c>
      <c r="I96" s="13">
        <v>20205763</v>
      </c>
    </row>
    <row r="97" spans="1:9" ht="15" customHeight="1" x14ac:dyDescent="0.35">
      <c r="A97" s="11">
        <v>4</v>
      </c>
      <c r="B97" s="12">
        <v>45200</v>
      </c>
      <c r="C97" s="16" t="s">
        <v>246</v>
      </c>
      <c r="D97" s="16" t="s">
        <v>242</v>
      </c>
      <c r="E97" s="16" t="s">
        <v>239</v>
      </c>
      <c r="F97" s="14">
        <v>0.1346</v>
      </c>
      <c r="G97" s="14">
        <v>0.86539999999999995</v>
      </c>
      <c r="H97" s="13">
        <v>162</v>
      </c>
      <c r="I97" s="13">
        <v>298101783</v>
      </c>
    </row>
    <row r="98" spans="1:9" ht="15" customHeight="1" x14ac:dyDescent="0.35">
      <c r="A98" s="11">
        <v>4</v>
      </c>
      <c r="B98" s="12">
        <v>45200</v>
      </c>
      <c r="C98" s="16" t="s">
        <v>246</v>
      </c>
      <c r="D98" s="16" t="s">
        <v>242</v>
      </c>
      <c r="E98" s="16" t="s">
        <v>240</v>
      </c>
      <c r="F98" s="14">
        <v>0.3639</v>
      </c>
      <c r="G98" s="14">
        <v>0.6361</v>
      </c>
      <c r="H98" s="13">
        <v>157</v>
      </c>
      <c r="I98" s="13">
        <v>173460718</v>
      </c>
    </row>
    <row r="99" spans="1:9" ht="15" customHeight="1" x14ac:dyDescent="0.35">
      <c r="A99" s="11">
        <v>4</v>
      </c>
      <c r="B99" s="12">
        <v>45200</v>
      </c>
      <c r="C99" s="16" t="s">
        <v>246</v>
      </c>
      <c r="D99" s="16" t="s">
        <v>242</v>
      </c>
      <c r="E99" s="16" t="s">
        <v>241</v>
      </c>
      <c r="F99" s="14">
        <v>0.64300000000000002</v>
      </c>
      <c r="G99" s="14">
        <v>0.35699999999999998</v>
      </c>
      <c r="H99" s="13">
        <v>119</v>
      </c>
      <c r="I99" s="13">
        <v>59965390</v>
      </c>
    </row>
    <row r="100" spans="1:9" ht="15" customHeight="1" x14ac:dyDescent="0.35">
      <c r="A100" s="11">
        <v>4</v>
      </c>
      <c r="B100" s="12">
        <v>45200</v>
      </c>
      <c r="C100" s="16" t="s">
        <v>246</v>
      </c>
      <c r="D100" s="16" t="s">
        <v>243</v>
      </c>
      <c r="E100" s="16" t="s">
        <v>238</v>
      </c>
      <c r="F100" s="14">
        <v>1.9099999999999999E-2</v>
      </c>
      <c r="G100" s="14">
        <v>0.98089999999999999</v>
      </c>
      <c r="H100" s="13">
        <v>156</v>
      </c>
      <c r="I100" s="13">
        <v>240461362</v>
      </c>
    </row>
    <row r="101" spans="1:9" ht="15" customHeight="1" x14ac:dyDescent="0.35">
      <c r="A101" s="11">
        <v>4</v>
      </c>
      <c r="B101" s="12">
        <v>45200</v>
      </c>
      <c r="C101" s="16" t="s">
        <v>246</v>
      </c>
      <c r="D101" s="16" t="s">
        <v>243</v>
      </c>
      <c r="E101" s="16" t="s">
        <v>239</v>
      </c>
      <c r="F101" s="14">
        <v>0.12590000000000001</v>
      </c>
      <c r="G101" s="14">
        <v>0.87409999999999999</v>
      </c>
      <c r="H101" s="13">
        <v>31</v>
      </c>
      <c r="I101" s="13">
        <v>56070053</v>
      </c>
    </row>
    <row r="102" spans="1:9" ht="15" customHeight="1" x14ac:dyDescent="0.35">
      <c r="A102" s="11">
        <v>4</v>
      </c>
      <c r="B102" s="12">
        <v>45200</v>
      </c>
      <c r="C102" s="16" t="s">
        <v>246</v>
      </c>
      <c r="D102" s="16" t="s">
        <v>243</v>
      </c>
      <c r="E102" s="16" t="s">
        <v>240</v>
      </c>
      <c r="F102" s="14">
        <v>0.33539999999999998</v>
      </c>
      <c r="G102" s="14">
        <v>0.66459999999999997</v>
      </c>
      <c r="H102" s="13">
        <v>144</v>
      </c>
      <c r="I102" s="13">
        <v>267869506</v>
      </c>
    </row>
    <row r="103" spans="1:9" ht="15" customHeight="1" x14ac:dyDescent="0.35">
      <c r="A103" s="11">
        <v>4</v>
      </c>
      <c r="B103" s="12">
        <v>45200</v>
      </c>
      <c r="C103" s="16" t="s">
        <v>246</v>
      </c>
      <c r="D103" s="16" t="s">
        <v>243</v>
      </c>
      <c r="E103" s="16" t="s">
        <v>241</v>
      </c>
      <c r="F103" s="14">
        <v>0.78190000000000004</v>
      </c>
      <c r="G103" s="14">
        <v>0.21809999999999999</v>
      </c>
      <c r="H103" s="13">
        <v>139</v>
      </c>
      <c r="I103" s="13">
        <v>262067803</v>
      </c>
    </row>
    <row r="104" spans="1:9" ht="15" customHeight="1" x14ac:dyDescent="0.35">
      <c r="A104" s="11">
        <v>7</v>
      </c>
      <c r="B104" s="12">
        <v>45292</v>
      </c>
      <c r="C104" s="16" t="s">
        <v>236</v>
      </c>
      <c r="D104" s="16" t="s">
        <v>237</v>
      </c>
      <c r="E104" s="16" t="s">
        <v>238</v>
      </c>
      <c r="F104" s="14">
        <v>1.9300000000000001E-2</v>
      </c>
      <c r="G104" s="14">
        <v>0.98070000000000002</v>
      </c>
      <c r="H104" s="13">
        <v>130</v>
      </c>
      <c r="I104" s="13">
        <v>79148688</v>
      </c>
    </row>
    <row r="105" spans="1:9" ht="15" customHeight="1" x14ac:dyDescent="0.35">
      <c r="A105" s="11">
        <v>7</v>
      </c>
      <c r="B105" s="12">
        <v>45292</v>
      </c>
      <c r="C105" s="16" t="s">
        <v>236</v>
      </c>
      <c r="D105" s="16" t="s">
        <v>237</v>
      </c>
      <c r="E105" s="16" t="s">
        <v>239</v>
      </c>
      <c r="F105" s="14">
        <v>0.1159</v>
      </c>
      <c r="G105" s="14">
        <v>0.8841</v>
      </c>
      <c r="H105" s="13">
        <v>105</v>
      </c>
      <c r="I105" s="13">
        <v>119083194</v>
      </c>
    </row>
    <row r="106" spans="1:9" ht="15" customHeight="1" x14ac:dyDescent="0.35">
      <c r="A106" s="11">
        <v>7</v>
      </c>
      <c r="B106" s="12">
        <v>45292</v>
      </c>
      <c r="C106" s="16" t="s">
        <v>236</v>
      </c>
      <c r="D106" s="16" t="s">
        <v>237</v>
      </c>
      <c r="E106" s="16" t="s">
        <v>240</v>
      </c>
      <c r="F106" s="14">
        <v>0.29920000000000002</v>
      </c>
      <c r="G106" s="14">
        <v>0.70079999999999998</v>
      </c>
      <c r="H106" s="13">
        <v>27</v>
      </c>
      <c r="I106" s="13">
        <v>36774168</v>
      </c>
    </row>
    <row r="107" spans="1:9" ht="15" customHeight="1" x14ac:dyDescent="0.35">
      <c r="A107" s="11">
        <v>7</v>
      </c>
      <c r="B107" s="12">
        <v>45292</v>
      </c>
      <c r="C107" s="16" t="s">
        <v>236</v>
      </c>
      <c r="D107" s="16" t="s">
        <v>237</v>
      </c>
      <c r="E107" s="16" t="s">
        <v>241</v>
      </c>
      <c r="F107" s="14">
        <v>0.77029999999999998</v>
      </c>
      <c r="G107" s="14">
        <v>0.22969999999999999</v>
      </c>
      <c r="H107" s="13">
        <v>170</v>
      </c>
      <c r="I107" s="13">
        <v>129057144</v>
      </c>
    </row>
    <row r="108" spans="1:9" ht="15" customHeight="1" x14ac:dyDescent="0.35">
      <c r="A108" s="11">
        <v>7</v>
      </c>
      <c r="B108" s="12">
        <v>45292</v>
      </c>
      <c r="C108" s="16" t="s">
        <v>236</v>
      </c>
      <c r="D108" s="16" t="s">
        <v>242</v>
      </c>
      <c r="E108" s="16" t="s">
        <v>238</v>
      </c>
      <c r="F108" s="14">
        <v>2.0500000000000001E-2</v>
      </c>
      <c r="G108" s="14">
        <v>0.97950000000000004</v>
      </c>
      <c r="H108" s="13">
        <v>95</v>
      </c>
      <c r="I108" s="13">
        <v>79184778</v>
      </c>
    </row>
    <row r="109" spans="1:9" ht="15" customHeight="1" x14ac:dyDescent="0.35">
      <c r="A109" s="11">
        <v>7</v>
      </c>
      <c r="B109" s="12">
        <v>45292</v>
      </c>
      <c r="C109" s="16" t="s">
        <v>236</v>
      </c>
      <c r="D109" s="16" t="s">
        <v>242</v>
      </c>
      <c r="E109" s="16" t="s">
        <v>239</v>
      </c>
      <c r="F109" s="14">
        <v>0.1147</v>
      </c>
      <c r="G109" s="14">
        <v>0.88529999999999998</v>
      </c>
      <c r="H109" s="13">
        <v>96</v>
      </c>
      <c r="I109" s="13">
        <v>243242128</v>
      </c>
    </row>
    <row r="110" spans="1:9" ht="15" customHeight="1" x14ac:dyDescent="0.35">
      <c r="A110" s="11">
        <v>7</v>
      </c>
      <c r="B110" s="12">
        <v>45292</v>
      </c>
      <c r="C110" s="16" t="s">
        <v>236</v>
      </c>
      <c r="D110" s="16" t="s">
        <v>242</v>
      </c>
      <c r="E110" s="16" t="s">
        <v>240</v>
      </c>
      <c r="F110" s="14">
        <v>0.31590000000000001</v>
      </c>
      <c r="G110" s="14">
        <v>0.68410000000000004</v>
      </c>
      <c r="H110" s="13">
        <v>185</v>
      </c>
      <c r="I110" s="13">
        <v>307388091</v>
      </c>
    </row>
    <row r="111" spans="1:9" ht="15" customHeight="1" x14ac:dyDescent="0.35">
      <c r="A111" s="11">
        <v>7</v>
      </c>
      <c r="B111" s="12">
        <v>45292</v>
      </c>
      <c r="C111" s="16" t="s">
        <v>236</v>
      </c>
      <c r="D111" s="16" t="s">
        <v>242</v>
      </c>
      <c r="E111" s="16" t="s">
        <v>241</v>
      </c>
      <c r="F111" s="14">
        <v>0.76219999999999999</v>
      </c>
      <c r="G111" s="14">
        <v>0.23780000000000001</v>
      </c>
      <c r="H111" s="13">
        <v>171</v>
      </c>
      <c r="I111" s="13">
        <v>163423844</v>
      </c>
    </row>
    <row r="112" spans="1:9" ht="15" customHeight="1" x14ac:dyDescent="0.35">
      <c r="A112" s="11">
        <v>7</v>
      </c>
      <c r="B112" s="12">
        <v>45292</v>
      </c>
      <c r="C112" s="16" t="s">
        <v>236</v>
      </c>
      <c r="D112" s="16" t="s">
        <v>243</v>
      </c>
      <c r="E112" s="16" t="s">
        <v>238</v>
      </c>
      <c r="F112" s="14">
        <v>1.78E-2</v>
      </c>
      <c r="G112" s="14">
        <v>0.98219999999999996</v>
      </c>
      <c r="H112" s="13">
        <v>193</v>
      </c>
      <c r="I112" s="13">
        <v>471011868</v>
      </c>
    </row>
    <row r="113" spans="1:9" ht="15" customHeight="1" x14ac:dyDescent="0.35">
      <c r="A113" s="11">
        <v>7</v>
      </c>
      <c r="B113" s="12">
        <v>45292</v>
      </c>
      <c r="C113" s="16" t="s">
        <v>236</v>
      </c>
      <c r="D113" s="16" t="s">
        <v>243</v>
      </c>
      <c r="E113" s="16" t="s">
        <v>239</v>
      </c>
      <c r="F113" s="14">
        <v>0.11849999999999999</v>
      </c>
      <c r="G113" s="14">
        <v>0.88149999999999995</v>
      </c>
      <c r="H113" s="13">
        <v>85</v>
      </c>
      <c r="I113" s="13">
        <v>85338086</v>
      </c>
    </row>
    <row r="114" spans="1:9" ht="15" customHeight="1" x14ac:dyDescent="0.35">
      <c r="A114" s="11">
        <v>7</v>
      </c>
      <c r="B114" s="12">
        <v>45292</v>
      </c>
      <c r="C114" s="16" t="s">
        <v>236</v>
      </c>
      <c r="D114" s="16" t="s">
        <v>243</v>
      </c>
      <c r="E114" s="16" t="s">
        <v>240</v>
      </c>
      <c r="F114" s="14">
        <v>0.38059999999999999</v>
      </c>
      <c r="G114" s="14">
        <v>0.61939999999999995</v>
      </c>
      <c r="H114" s="13">
        <v>20</v>
      </c>
      <c r="I114" s="13">
        <v>25779791</v>
      </c>
    </row>
    <row r="115" spans="1:9" ht="15" customHeight="1" x14ac:dyDescent="0.35">
      <c r="A115" s="11">
        <v>7</v>
      </c>
      <c r="B115" s="12">
        <v>45292</v>
      </c>
      <c r="C115" s="16" t="s">
        <v>236</v>
      </c>
      <c r="D115" s="16" t="s">
        <v>243</v>
      </c>
      <c r="E115" s="16" t="s">
        <v>241</v>
      </c>
      <c r="F115" s="14">
        <v>0.67900000000000005</v>
      </c>
      <c r="G115" s="14">
        <v>0.32100000000000001</v>
      </c>
      <c r="H115" s="13">
        <v>111</v>
      </c>
      <c r="I115" s="13">
        <v>329981550</v>
      </c>
    </row>
    <row r="116" spans="1:9" ht="15" customHeight="1" x14ac:dyDescent="0.35">
      <c r="A116" s="11">
        <v>7</v>
      </c>
      <c r="B116" s="12">
        <v>45292</v>
      </c>
      <c r="C116" s="16" t="s">
        <v>244</v>
      </c>
      <c r="D116" s="16" t="s">
        <v>237</v>
      </c>
      <c r="E116" s="16" t="s">
        <v>238</v>
      </c>
      <c r="F116" s="14">
        <v>2.0299999999999999E-2</v>
      </c>
      <c r="G116" s="14">
        <v>0.97970000000000002</v>
      </c>
      <c r="H116" s="13">
        <v>74</v>
      </c>
      <c r="I116" s="13">
        <v>43774843</v>
      </c>
    </row>
    <row r="117" spans="1:9" ht="15" customHeight="1" x14ac:dyDescent="0.35">
      <c r="A117" s="11">
        <v>7</v>
      </c>
      <c r="B117" s="12">
        <v>45292</v>
      </c>
      <c r="C117" s="16" t="s">
        <v>244</v>
      </c>
      <c r="D117" s="16" t="s">
        <v>237</v>
      </c>
      <c r="E117" s="16" t="s">
        <v>239</v>
      </c>
      <c r="F117" s="14">
        <v>0.12529999999999999</v>
      </c>
      <c r="G117" s="14">
        <v>0.87470000000000003</v>
      </c>
      <c r="H117" s="13">
        <v>83</v>
      </c>
      <c r="I117" s="13">
        <v>115572142</v>
      </c>
    </row>
    <row r="118" spans="1:9" ht="15" customHeight="1" x14ac:dyDescent="0.35">
      <c r="A118" s="11">
        <v>7</v>
      </c>
      <c r="B118" s="12">
        <v>45292</v>
      </c>
      <c r="C118" s="16" t="s">
        <v>244</v>
      </c>
      <c r="D118" s="16" t="s">
        <v>237</v>
      </c>
      <c r="E118" s="16" t="s">
        <v>240</v>
      </c>
      <c r="F118" s="14">
        <v>0.3795</v>
      </c>
      <c r="G118" s="14">
        <v>0.62050000000000005</v>
      </c>
      <c r="H118" s="13">
        <v>177</v>
      </c>
      <c r="I118" s="13">
        <v>235376674</v>
      </c>
    </row>
    <row r="119" spans="1:9" ht="15" customHeight="1" x14ac:dyDescent="0.35">
      <c r="A119" s="11">
        <v>7</v>
      </c>
      <c r="B119" s="12">
        <v>45292</v>
      </c>
      <c r="C119" s="16" t="s">
        <v>244</v>
      </c>
      <c r="D119" s="16" t="s">
        <v>237</v>
      </c>
      <c r="E119" s="16" t="s">
        <v>241</v>
      </c>
      <c r="F119" s="14">
        <v>0.63890000000000002</v>
      </c>
      <c r="G119" s="14">
        <v>0.36109999999999998</v>
      </c>
      <c r="H119" s="13">
        <v>104</v>
      </c>
      <c r="I119" s="13">
        <v>165607360</v>
      </c>
    </row>
    <row r="120" spans="1:9" ht="15" customHeight="1" x14ac:dyDescent="0.35">
      <c r="A120" s="11">
        <v>7</v>
      </c>
      <c r="B120" s="12">
        <v>45292</v>
      </c>
      <c r="C120" s="16" t="s">
        <v>244</v>
      </c>
      <c r="D120" s="16" t="s">
        <v>242</v>
      </c>
      <c r="E120" s="16" t="s">
        <v>238</v>
      </c>
      <c r="F120" s="14">
        <v>1.9400000000000001E-2</v>
      </c>
      <c r="G120" s="14">
        <v>0.98060000000000003</v>
      </c>
      <c r="H120" s="13">
        <v>122</v>
      </c>
      <c r="I120" s="13">
        <v>333864436</v>
      </c>
    </row>
    <row r="121" spans="1:9" ht="15" customHeight="1" x14ac:dyDescent="0.35">
      <c r="A121" s="11">
        <v>7</v>
      </c>
      <c r="B121" s="12">
        <v>45292</v>
      </c>
      <c r="C121" s="16" t="s">
        <v>244</v>
      </c>
      <c r="D121" s="16" t="s">
        <v>242</v>
      </c>
      <c r="E121" s="16" t="s">
        <v>239</v>
      </c>
      <c r="F121" s="14">
        <v>0.1159</v>
      </c>
      <c r="G121" s="14">
        <v>0.8841</v>
      </c>
      <c r="H121" s="13">
        <v>57</v>
      </c>
      <c r="I121" s="13">
        <v>99208960</v>
      </c>
    </row>
    <row r="122" spans="1:9" ht="15" customHeight="1" x14ac:dyDescent="0.35">
      <c r="A122" s="11">
        <v>7</v>
      </c>
      <c r="B122" s="12">
        <v>45292</v>
      </c>
      <c r="C122" s="16" t="s">
        <v>244</v>
      </c>
      <c r="D122" s="16" t="s">
        <v>242</v>
      </c>
      <c r="E122" s="16" t="s">
        <v>240</v>
      </c>
      <c r="F122" s="14">
        <v>0.34970000000000001</v>
      </c>
      <c r="G122" s="14">
        <v>0.65029999999999999</v>
      </c>
      <c r="H122" s="13">
        <v>142</v>
      </c>
      <c r="I122" s="13">
        <v>165685847</v>
      </c>
    </row>
    <row r="123" spans="1:9" ht="15" customHeight="1" x14ac:dyDescent="0.35">
      <c r="A123" s="11">
        <v>7</v>
      </c>
      <c r="B123" s="12">
        <v>45292</v>
      </c>
      <c r="C123" s="16" t="s">
        <v>244</v>
      </c>
      <c r="D123" s="16" t="s">
        <v>242</v>
      </c>
      <c r="E123" s="16" t="s">
        <v>241</v>
      </c>
      <c r="F123" s="14">
        <v>0.62980000000000003</v>
      </c>
      <c r="G123" s="14">
        <v>0.37019999999999997</v>
      </c>
      <c r="H123" s="13">
        <v>118</v>
      </c>
      <c r="I123" s="13">
        <v>82283467</v>
      </c>
    </row>
    <row r="124" spans="1:9" ht="15" customHeight="1" x14ac:dyDescent="0.35">
      <c r="A124" s="11">
        <v>7</v>
      </c>
      <c r="B124" s="12">
        <v>45292</v>
      </c>
      <c r="C124" s="16" t="s">
        <v>244</v>
      </c>
      <c r="D124" s="16" t="s">
        <v>243</v>
      </c>
      <c r="E124" s="16" t="s">
        <v>238</v>
      </c>
      <c r="F124" s="14">
        <v>2.06E-2</v>
      </c>
      <c r="G124" s="14">
        <v>0.97940000000000005</v>
      </c>
      <c r="H124" s="13">
        <v>56</v>
      </c>
      <c r="I124" s="13">
        <v>104366416</v>
      </c>
    </row>
    <row r="125" spans="1:9" ht="15" customHeight="1" x14ac:dyDescent="0.35">
      <c r="A125" s="11">
        <v>7</v>
      </c>
      <c r="B125" s="12">
        <v>45292</v>
      </c>
      <c r="C125" s="16" t="s">
        <v>244</v>
      </c>
      <c r="D125" s="16" t="s">
        <v>243</v>
      </c>
      <c r="E125" s="16" t="s">
        <v>239</v>
      </c>
      <c r="F125" s="14">
        <v>0.11360000000000001</v>
      </c>
      <c r="G125" s="14">
        <v>0.88639999999999997</v>
      </c>
      <c r="H125" s="13">
        <v>30</v>
      </c>
      <c r="I125" s="13">
        <v>39593993</v>
      </c>
    </row>
    <row r="126" spans="1:9" ht="15" customHeight="1" x14ac:dyDescent="0.35">
      <c r="A126" s="11">
        <v>7</v>
      </c>
      <c r="B126" s="12">
        <v>45292</v>
      </c>
      <c r="C126" s="16" t="s">
        <v>244</v>
      </c>
      <c r="D126" s="16" t="s">
        <v>243</v>
      </c>
      <c r="E126" s="16" t="s">
        <v>240</v>
      </c>
      <c r="F126" s="14">
        <v>0.32850000000000001</v>
      </c>
      <c r="G126" s="14">
        <v>0.67149999999999999</v>
      </c>
      <c r="H126" s="13">
        <v>124</v>
      </c>
      <c r="I126" s="13">
        <v>248812705</v>
      </c>
    </row>
    <row r="127" spans="1:9" ht="15" customHeight="1" x14ac:dyDescent="0.35">
      <c r="A127" s="11">
        <v>7</v>
      </c>
      <c r="B127" s="12">
        <v>45292</v>
      </c>
      <c r="C127" s="16" t="s">
        <v>244</v>
      </c>
      <c r="D127" s="16" t="s">
        <v>243</v>
      </c>
      <c r="E127" s="16" t="s">
        <v>241</v>
      </c>
      <c r="F127" s="14">
        <v>0.70399999999999996</v>
      </c>
      <c r="G127" s="14">
        <v>0.29599999999999999</v>
      </c>
      <c r="H127" s="13">
        <v>186</v>
      </c>
      <c r="I127" s="13">
        <v>299417397</v>
      </c>
    </row>
    <row r="128" spans="1:9" ht="15" customHeight="1" x14ac:dyDescent="0.35">
      <c r="A128" s="11">
        <v>7</v>
      </c>
      <c r="B128" s="12">
        <v>45292</v>
      </c>
      <c r="C128" s="16" t="s">
        <v>245</v>
      </c>
      <c r="D128" s="16" t="s">
        <v>237</v>
      </c>
      <c r="E128" s="16" t="s">
        <v>238</v>
      </c>
      <c r="F128" s="14">
        <v>1.9699999999999999E-2</v>
      </c>
      <c r="G128" s="14">
        <v>0.98029999999999995</v>
      </c>
      <c r="H128" s="13">
        <v>196</v>
      </c>
      <c r="I128" s="13">
        <v>524318216</v>
      </c>
    </row>
    <row r="129" spans="1:9" ht="15" customHeight="1" x14ac:dyDescent="0.35">
      <c r="A129" s="11">
        <v>7</v>
      </c>
      <c r="B129" s="12">
        <v>45292</v>
      </c>
      <c r="C129" s="16" t="s">
        <v>245</v>
      </c>
      <c r="D129" s="16" t="s">
        <v>237</v>
      </c>
      <c r="E129" s="16" t="s">
        <v>239</v>
      </c>
      <c r="F129" s="14">
        <v>0.1147</v>
      </c>
      <c r="G129" s="14">
        <v>0.88529999999999998</v>
      </c>
      <c r="H129" s="13">
        <v>121</v>
      </c>
      <c r="I129" s="13">
        <v>143552996</v>
      </c>
    </row>
    <row r="130" spans="1:9" ht="15" customHeight="1" x14ac:dyDescent="0.35">
      <c r="A130" s="11">
        <v>7</v>
      </c>
      <c r="B130" s="12">
        <v>45292</v>
      </c>
      <c r="C130" s="16" t="s">
        <v>245</v>
      </c>
      <c r="D130" s="16" t="s">
        <v>237</v>
      </c>
      <c r="E130" s="16" t="s">
        <v>240</v>
      </c>
      <c r="F130" s="14">
        <v>0.40039999999999998</v>
      </c>
      <c r="G130" s="14">
        <v>0.59960000000000002</v>
      </c>
      <c r="H130" s="13">
        <v>24</v>
      </c>
      <c r="I130" s="13">
        <v>16502470</v>
      </c>
    </row>
    <row r="131" spans="1:9" ht="15" customHeight="1" x14ac:dyDescent="0.35">
      <c r="A131" s="11">
        <v>7</v>
      </c>
      <c r="B131" s="12">
        <v>45292</v>
      </c>
      <c r="C131" s="16" t="s">
        <v>245</v>
      </c>
      <c r="D131" s="16" t="s">
        <v>237</v>
      </c>
      <c r="E131" s="16" t="s">
        <v>241</v>
      </c>
      <c r="F131" s="14">
        <v>0.74970000000000003</v>
      </c>
      <c r="G131" s="14">
        <v>0.25030000000000002</v>
      </c>
      <c r="H131" s="13">
        <v>103</v>
      </c>
      <c r="I131" s="13">
        <v>183619650</v>
      </c>
    </row>
    <row r="132" spans="1:9" ht="15" customHeight="1" x14ac:dyDescent="0.35">
      <c r="A132" s="11">
        <v>7</v>
      </c>
      <c r="B132" s="12">
        <v>45292</v>
      </c>
      <c r="C132" s="16" t="s">
        <v>245</v>
      </c>
      <c r="D132" s="16" t="s">
        <v>242</v>
      </c>
      <c r="E132" s="16" t="s">
        <v>238</v>
      </c>
      <c r="F132" s="14">
        <v>2.1499999999999998E-2</v>
      </c>
      <c r="G132" s="14">
        <v>0.97850000000000004</v>
      </c>
      <c r="H132" s="13">
        <v>50</v>
      </c>
      <c r="I132" s="13">
        <v>144098675</v>
      </c>
    </row>
    <row r="133" spans="1:9" ht="15" customHeight="1" x14ac:dyDescent="0.35">
      <c r="A133" s="11">
        <v>7</v>
      </c>
      <c r="B133" s="12">
        <v>45292</v>
      </c>
      <c r="C133" s="16" t="s">
        <v>245</v>
      </c>
      <c r="D133" s="16" t="s">
        <v>242</v>
      </c>
      <c r="E133" s="16" t="s">
        <v>239</v>
      </c>
      <c r="F133" s="14">
        <v>0.1071</v>
      </c>
      <c r="G133" s="14">
        <v>0.89290000000000003</v>
      </c>
      <c r="H133" s="13">
        <v>165</v>
      </c>
      <c r="I133" s="13">
        <v>362211660</v>
      </c>
    </row>
    <row r="134" spans="1:9" ht="15" customHeight="1" x14ac:dyDescent="0.35">
      <c r="A134" s="11">
        <v>7</v>
      </c>
      <c r="B134" s="12">
        <v>45292</v>
      </c>
      <c r="C134" s="16" t="s">
        <v>245</v>
      </c>
      <c r="D134" s="16" t="s">
        <v>242</v>
      </c>
      <c r="E134" s="16" t="s">
        <v>240</v>
      </c>
      <c r="F134" s="14">
        <v>0.34350000000000003</v>
      </c>
      <c r="G134" s="14">
        <v>0.65649999999999997</v>
      </c>
      <c r="H134" s="13">
        <v>42</v>
      </c>
      <c r="I134" s="13">
        <v>28059503</v>
      </c>
    </row>
    <row r="135" spans="1:9" ht="15" customHeight="1" x14ac:dyDescent="0.35">
      <c r="A135" s="11">
        <v>7</v>
      </c>
      <c r="B135" s="12">
        <v>45292</v>
      </c>
      <c r="C135" s="16" t="s">
        <v>245</v>
      </c>
      <c r="D135" s="16" t="s">
        <v>242</v>
      </c>
      <c r="E135" s="16" t="s">
        <v>241</v>
      </c>
      <c r="F135" s="14">
        <v>0.7802</v>
      </c>
      <c r="G135" s="14">
        <v>0.2198</v>
      </c>
      <c r="H135" s="13">
        <v>103</v>
      </c>
      <c r="I135" s="13">
        <v>144753775</v>
      </c>
    </row>
    <row r="136" spans="1:9" ht="15" customHeight="1" x14ac:dyDescent="0.35">
      <c r="A136" s="11">
        <v>7</v>
      </c>
      <c r="B136" s="12">
        <v>45292</v>
      </c>
      <c r="C136" s="16" t="s">
        <v>245</v>
      </c>
      <c r="D136" s="16" t="s">
        <v>243</v>
      </c>
      <c r="E136" s="16" t="s">
        <v>238</v>
      </c>
      <c r="F136" s="14">
        <v>2.2700000000000001E-2</v>
      </c>
      <c r="G136" s="14">
        <v>0.97729999999999995</v>
      </c>
      <c r="H136" s="13">
        <v>18</v>
      </c>
      <c r="I136" s="13">
        <v>36229267</v>
      </c>
    </row>
    <row r="137" spans="1:9" ht="15" customHeight="1" x14ac:dyDescent="0.35">
      <c r="A137" s="11">
        <v>7</v>
      </c>
      <c r="B137" s="12">
        <v>45292</v>
      </c>
      <c r="C137" s="16" t="s">
        <v>245</v>
      </c>
      <c r="D137" s="16" t="s">
        <v>243</v>
      </c>
      <c r="E137" s="16" t="s">
        <v>239</v>
      </c>
      <c r="F137" s="14">
        <v>0.12640000000000001</v>
      </c>
      <c r="G137" s="14">
        <v>0.87360000000000004</v>
      </c>
      <c r="H137" s="13">
        <v>104</v>
      </c>
      <c r="I137" s="13">
        <v>148723478</v>
      </c>
    </row>
    <row r="138" spans="1:9" ht="15" customHeight="1" x14ac:dyDescent="0.35">
      <c r="A138" s="11">
        <v>7</v>
      </c>
      <c r="B138" s="12">
        <v>45292</v>
      </c>
      <c r="C138" s="16" t="s">
        <v>245</v>
      </c>
      <c r="D138" s="16" t="s">
        <v>243</v>
      </c>
      <c r="E138" s="16" t="s">
        <v>240</v>
      </c>
      <c r="F138" s="14">
        <v>0.37759999999999999</v>
      </c>
      <c r="G138" s="14">
        <v>0.62239999999999995</v>
      </c>
      <c r="H138" s="13">
        <v>156</v>
      </c>
      <c r="I138" s="13">
        <v>131701092</v>
      </c>
    </row>
    <row r="139" spans="1:9" ht="15" customHeight="1" x14ac:dyDescent="0.35">
      <c r="A139" s="11">
        <v>7</v>
      </c>
      <c r="B139" s="12">
        <v>45292</v>
      </c>
      <c r="C139" s="16" t="s">
        <v>245</v>
      </c>
      <c r="D139" s="16" t="s">
        <v>243</v>
      </c>
      <c r="E139" s="16" t="s">
        <v>241</v>
      </c>
      <c r="F139" s="14">
        <v>0.69130000000000003</v>
      </c>
      <c r="G139" s="14">
        <v>0.30869999999999997</v>
      </c>
      <c r="H139" s="13">
        <v>90</v>
      </c>
      <c r="I139" s="13">
        <v>191151166</v>
      </c>
    </row>
    <row r="140" spans="1:9" ht="15" customHeight="1" x14ac:dyDescent="0.35">
      <c r="A140" s="11">
        <v>7</v>
      </c>
      <c r="B140" s="12">
        <v>45292</v>
      </c>
      <c r="C140" s="16" t="s">
        <v>246</v>
      </c>
      <c r="D140" s="16" t="s">
        <v>237</v>
      </c>
      <c r="E140" s="16" t="s">
        <v>238</v>
      </c>
      <c r="F140" s="14">
        <v>1.8499999999999999E-2</v>
      </c>
      <c r="G140" s="14">
        <v>0.98150000000000004</v>
      </c>
      <c r="H140" s="13">
        <v>39</v>
      </c>
      <c r="I140" s="13">
        <v>22026551</v>
      </c>
    </row>
    <row r="141" spans="1:9" ht="15" customHeight="1" x14ac:dyDescent="0.35">
      <c r="A141" s="11">
        <v>7</v>
      </c>
      <c r="B141" s="12">
        <v>45292</v>
      </c>
      <c r="C141" s="16" t="s">
        <v>246</v>
      </c>
      <c r="D141" s="16" t="s">
        <v>237</v>
      </c>
      <c r="E141" s="16" t="s">
        <v>239</v>
      </c>
      <c r="F141" s="14">
        <v>0.1087</v>
      </c>
      <c r="G141" s="14">
        <v>0.89129999999999998</v>
      </c>
      <c r="H141" s="13">
        <v>142</v>
      </c>
      <c r="I141" s="13">
        <v>208380520</v>
      </c>
    </row>
    <row r="142" spans="1:9" ht="15" customHeight="1" x14ac:dyDescent="0.35">
      <c r="A142" s="11">
        <v>7</v>
      </c>
      <c r="B142" s="12">
        <v>45292</v>
      </c>
      <c r="C142" s="16" t="s">
        <v>246</v>
      </c>
      <c r="D142" s="16" t="s">
        <v>237</v>
      </c>
      <c r="E142" s="16" t="s">
        <v>240</v>
      </c>
      <c r="F142" s="14">
        <v>0.35649999999999998</v>
      </c>
      <c r="G142" s="14">
        <v>0.64349999999999996</v>
      </c>
      <c r="H142" s="13">
        <v>77</v>
      </c>
      <c r="I142" s="13">
        <v>187680663</v>
      </c>
    </row>
    <row r="143" spans="1:9" ht="15" customHeight="1" x14ac:dyDescent="0.35">
      <c r="A143" s="11">
        <v>7</v>
      </c>
      <c r="B143" s="12">
        <v>45292</v>
      </c>
      <c r="C143" s="16" t="s">
        <v>246</v>
      </c>
      <c r="D143" s="16" t="s">
        <v>237</v>
      </c>
      <c r="E143" s="16" t="s">
        <v>241</v>
      </c>
      <c r="F143" s="14">
        <v>0.7641</v>
      </c>
      <c r="G143" s="14">
        <v>0.2359</v>
      </c>
      <c r="H143" s="13">
        <v>64</v>
      </c>
      <c r="I143" s="13">
        <v>191418418</v>
      </c>
    </row>
    <row r="144" spans="1:9" ht="15" customHeight="1" x14ac:dyDescent="0.35">
      <c r="A144" s="11">
        <v>7</v>
      </c>
      <c r="B144" s="12">
        <v>45292</v>
      </c>
      <c r="C144" s="16" t="s">
        <v>246</v>
      </c>
      <c r="D144" s="16" t="s">
        <v>242</v>
      </c>
      <c r="E144" s="16" t="s">
        <v>238</v>
      </c>
      <c r="F144" s="14">
        <v>1.8700000000000001E-2</v>
      </c>
      <c r="G144" s="14">
        <v>0.98129999999999995</v>
      </c>
      <c r="H144" s="13">
        <v>135</v>
      </c>
      <c r="I144" s="13">
        <v>135060190</v>
      </c>
    </row>
    <row r="145" spans="1:9" ht="15" customHeight="1" x14ac:dyDescent="0.35">
      <c r="A145" s="11">
        <v>7</v>
      </c>
      <c r="B145" s="12">
        <v>45292</v>
      </c>
      <c r="C145" s="16" t="s">
        <v>246</v>
      </c>
      <c r="D145" s="16" t="s">
        <v>242</v>
      </c>
      <c r="E145" s="16" t="s">
        <v>239</v>
      </c>
      <c r="F145" s="14">
        <v>0.1069</v>
      </c>
      <c r="G145" s="14">
        <v>0.8931</v>
      </c>
      <c r="H145" s="13">
        <v>28</v>
      </c>
      <c r="I145" s="13">
        <v>45642988</v>
      </c>
    </row>
    <row r="146" spans="1:9" ht="15" customHeight="1" x14ac:dyDescent="0.35">
      <c r="A146" s="11">
        <v>7</v>
      </c>
      <c r="B146" s="12">
        <v>45292</v>
      </c>
      <c r="C146" s="16" t="s">
        <v>246</v>
      </c>
      <c r="D146" s="16" t="s">
        <v>242</v>
      </c>
      <c r="E146" s="16" t="s">
        <v>240</v>
      </c>
      <c r="F146" s="14">
        <v>0.39190000000000003</v>
      </c>
      <c r="G146" s="14">
        <v>0.60809999999999997</v>
      </c>
      <c r="H146" s="13">
        <v>123</v>
      </c>
      <c r="I146" s="13">
        <v>368158189</v>
      </c>
    </row>
    <row r="147" spans="1:9" ht="15" customHeight="1" x14ac:dyDescent="0.35">
      <c r="A147" s="11">
        <v>7</v>
      </c>
      <c r="B147" s="12">
        <v>45292</v>
      </c>
      <c r="C147" s="16" t="s">
        <v>246</v>
      </c>
      <c r="D147" s="16" t="s">
        <v>242</v>
      </c>
      <c r="E147" s="16" t="s">
        <v>241</v>
      </c>
      <c r="F147" s="14">
        <v>0.78710000000000002</v>
      </c>
      <c r="G147" s="14">
        <v>0.21290000000000001</v>
      </c>
      <c r="H147" s="13">
        <v>91</v>
      </c>
      <c r="I147" s="13">
        <v>197433552</v>
      </c>
    </row>
    <row r="148" spans="1:9" ht="15" customHeight="1" x14ac:dyDescent="0.35">
      <c r="A148" s="11">
        <v>7</v>
      </c>
      <c r="B148" s="12">
        <v>45292</v>
      </c>
      <c r="C148" s="16" t="s">
        <v>246</v>
      </c>
      <c r="D148" s="16" t="s">
        <v>243</v>
      </c>
      <c r="E148" s="16" t="s">
        <v>238</v>
      </c>
      <c r="F148" s="14">
        <v>2.1299999999999999E-2</v>
      </c>
      <c r="G148" s="14">
        <v>0.97870000000000001</v>
      </c>
      <c r="H148" s="13">
        <v>150</v>
      </c>
      <c r="I148" s="13">
        <v>278314260</v>
      </c>
    </row>
    <row r="149" spans="1:9" ht="15" customHeight="1" x14ac:dyDescent="0.35">
      <c r="A149" s="11">
        <v>7</v>
      </c>
      <c r="B149" s="12">
        <v>45292</v>
      </c>
      <c r="C149" s="16" t="s">
        <v>246</v>
      </c>
      <c r="D149" s="16" t="s">
        <v>243</v>
      </c>
      <c r="E149" s="16" t="s">
        <v>239</v>
      </c>
      <c r="F149" s="14">
        <v>0.1341</v>
      </c>
      <c r="G149" s="14">
        <v>0.8659</v>
      </c>
      <c r="H149" s="13">
        <v>50</v>
      </c>
      <c r="I149" s="13">
        <v>113976138</v>
      </c>
    </row>
    <row r="150" spans="1:9" ht="15" customHeight="1" x14ac:dyDescent="0.35">
      <c r="A150" s="11">
        <v>7</v>
      </c>
      <c r="B150" s="12">
        <v>45292</v>
      </c>
      <c r="C150" s="16" t="s">
        <v>246</v>
      </c>
      <c r="D150" s="16" t="s">
        <v>243</v>
      </c>
      <c r="E150" s="16" t="s">
        <v>240</v>
      </c>
      <c r="F150" s="14">
        <v>0.39489999999999997</v>
      </c>
      <c r="G150" s="14">
        <v>0.60509999999999997</v>
      </c>
      <c r="H150" s="13">
        <v>173</v>
      </c>
      <c r="I150" s="13">
        <v>161794362</v>
      </c>
    </row>
    <row r="151" spans="1:9" ht="15" customHeight="1" x14ac:dyDescent="0.35">
      <c r="A151" s="11">
        <v>7</v>
      </c>
      <c r="B151" s="12">
        <v>45292</v>
      </c>
      <c r="C151" s="16" t="s">
        <v>246</v>
      </c>
      <c r="D151" s="16" t="s">
        <v>243</v>
      </c>
      <c r="E151" s="16" t="s">
        <v>241</v>
      </c>
      <c r="F151" s="14">
        <v>0.69010000000000005</v>
      </c>
      <c r="G151" s="14">
        <v>0.30990000000000001</v>
      </c>
      <c r="H151" s="13">
        <v>67</v>
      </c>
      <c r="I151" s="13">
        <v>53828211</v>
      </c>
    </row>
    <row r="152" spans="1:9" ht="15" customHeight="1" x14ac:dyDescent="0.35">
      <c r="A152" s="11">
        <v>10</v>
      </c>
      <c r="B152" s="12">
        <v>45383</v>
      </c>
      <c r="C152" s="16" t="s">
        <v>236</v>
      </c>
      <c r="D152" s="16" t="s">
        <v>237</v>
      </c>
      <c r="E152" s="16" t="s">
        <v>238</v>
      </c>
      <c r="F152" s="14">
        <v>1.8200000000000001E-2</v>
      </c>
      <c r="G152" s="14">
        <v>0.98180000000000001</v>
      </c>
      <c r="H152" s="13">
        <v>45</v>
      </c>
      <c r="I152" s="13">
        <v>49132821</v>
      </c>
    </row>
    <row r="153" spans="1:9" ht="15" customHeight="1" x14ac:dyDescent="0.35">
      <c r="A153" s="11">
        <v>10</v>
      </c>
      <c r="B153" s="12">
        <v>45383</v>
      </c>
      <c r="C153" s="16" t="s">
        <v>236</v>
      </c>
      <c r="D153" s="16" t="s">
        <v>237</v>
      </c>
      <c r="E153" s="16" t="s">
        <v>239</v>
      </c>
      <c r="F153" s="14">
        <v>0.1198</v>
      </c>
      <c r="G153" s="14">
        <v>0.88019999999999998</v>
      </c>
      <c r="H153" s="13">
        <v>102</v>
      </c>
      <c r="I153" s="13">
        <v>192275467</v>
      </c>
    </row>
    <row r="154" spans="1:9" ht="15" customHeight="1" x14ac:dyDescent="0.35">
      <c r="A154" s="11">
        <v>10</v>
      </c>
      <c r="B154" s="12">
        <v>45383</v>
      </c>
      <c r="C154" s="16" t="s">
        <v>236</v>
      </c>
      <c r="D154" s="16" t="s">
        <v>237</v>
      </c>
      <c r="E154" s="16" t="s">
        <v>240</v>
      </c>
      <c r="F154" s="14">
        <v>0.3362</v>
      </c>
      <c r="G154" s="14">
        <v>0.66379999999999995</v>
      </c>
      <c r="H154" s="13">
        <v>151</v>
      </c>
      <c r="I154" s="13">
        <v>124488639</v>
      </c>
    </row>
    <row r="155" spans="1:9" ht="15" customHeight="1" x14ac:dyDescent="0.35">
      <c r="A155" s="11">
        <v>10</v>
      </c>
      <c r="B155" s="12">
        <v>45383</v>
      </c>
      <c r="C155" s="16" t="s">
        <v>236</v>
      </c>
      <c r="D155" s="16" t="s">
        <v>237</v>
      </c>
      <c r="E155" s="16" t="s">
        <v>241</v>
      </c>
      <c r="F155" s="14">
        <v>0.80300000000000005</v>
      </c>
      <c r="G155" s="14">
        <v>0.19700000000000001</v>
      </c>
      <c r="H155" s="13">
        <v>26</v>
      </c>
      <c r="I155" s="13">
        <v>33103897</v>
      </c>
    </row>
    <row r="156" spans="1:9" ht="15" customHeight="1" x14ac:dyDescent="0.35">
      <c r="A156" s="11">
        <v>10</v>
      </c>
      <c r="B156" s="12">
        <v>45383</v>
      </c>
      <c r="C156" s="16" t="s">
        <v>236</v>
      </c>
      <c r="D156" s="16" t="s">
        <v>242</v>
      </c>
      <c r="E156" s="16" t="s">
        <v>238</v>
      </c>
      <c r="F156" s="14">
        <v>2.3E-2</v>
      </c>
      <c r="G156" s="14">
        <v>0.97699999999999998</v>
      </c>
      <c r="H156" s="13">
        <v>194</v>
      </c>
      <c r="I156" s="13">
        <v>329152578</v>
      </c>
    </row>
    <row r="157" spans="1:9" ht="15" customHeight="1" x14ac:dyDescent="0.35">
      <c r="A157" s="11">
        <v>10</v>
      </c>
      <c r="B157" s="12">
        <v>45383</v>
      </c>
      <c r="C157" s="16" t="s">
        <v>236</v>
      </c>
      <c r="D157" s="16" t="s">
        <v>242</v>
      </c>
      <c r="E157" s="16" t="s">
        <v>239</v>
      </c>
      <c r="F157" s="14">
        <v>0.1168</v>
      </c>
      <c r="G157" s="14">
        <v>0.88319999999999999</v>
      </c>
      <c r="H157" s="13">
        <v>114</v>
      </c>
      <c r="I157" s="13">
        <v>291651729</v>
      </c>
    </row>
    <row r="158" spans="1:9" ht="15" customHeight="1" x14ac:dyDescent="0.35">
      <c r="A158" s="11">
        <v>10</v>
      </c>
      <c r="B158" s="12">
        <v>45383</v>
      </c>
      <c r="C158" s="16" t="s">
        <v>236</v>
      </c>
      <c r="D158" s="16" t="s">
        <v>242</v>
      </c>
      <c r="E158" s="16" t="s">
        <v>240</v>
      </c>
      <c r="F158" s="14">
        <v>0.30520000000000003</v>
      </c>
      <c r="G158" s="14">
        <v>0.69479999999999997</v>
      </c>
      <c r="H158" s="13">
        <v>91</v>
      </c>
      <c r="I158" s="13">
        <v>191632029</v>
      </c>
    </row>
    <row r="159" spans="1:9" ht="15" customHeight="1" x14ac:dyDescent="0.35">
      <c r="A159" s="11">
        <v>10</v>
      </c>
      <c r="B159" s="12">
        <v>45383</v>
      </c>
      <c r="C159" s="16" t="s">
        <v>236</v>
      </c>
      <c r="D159" s="16" t="s">
        <v>242</v>
      </c>
      <c r="E159" s="16" t="s">
        <v>241</v>
      </c>
      <c r="F159" s="14">
        <v>0.70920000000000005</v>
      </c>
      <c r="G159" s="14">
        <v>0.2908</v>
      </c>
      <c r="H159" s="13">
        <v>184</v>
      </c>
      <c r="I159" s="13">
        <v>329985605</v>
      </c>
    </row>
    <row r="160" spans="1:9" ht="15" customHeight="1" x14ac:dyDescent="0.35">
      <c r="A160" s="11">
        <v>10</v>
      </c>
      <c r="B160" s="12">
        <v>45383</v>
      </c>
      <c r="C160" s="16" t="s">
        <v>236</v>
      </c>
      <c r="D160" s="16" t="s">
        <v>243</v>
      </c>
      <c r="E160" s="16" t="s">
        <v>238</v>
      </c>
      <c r="F160" s="14">
        <v>1.78E-2</v>
      </c>
      <c r="G160" s="14">
        <v>0.98219999999999996</v>
      </c>
      <c r="H160" s="13">
        <v>151</v>
      </c>
      <c r="I160" s="13">
        <v>317022208</v>
      </c>
    </row>
    <row r="161" spans="1:9" ht="15" customHeight="1" x14ac:dyDescent="0.35">
      <c r="A161" s="11">
        <v>10</v>
      </c>
      <c r="B161" s="12">
        <v>45383</v>
      </c>
      <c r="C161" s="16" t="s">
        <v>236</v>
      </c>
      <c r="D161" s="16" t="s">
        <v>243</v>
      </c>
      <c r="E161" s="16" t="s">
        <v>239</v>
      </c>
      <c r="F161" s="14">
        <v>0.1086</v>
      </c>
      <c r="G161" s="14">
        <v>0.89139999999999997</v>
      </c>
      <c r="H161" s="13">
        <v>43</v>
      </c>
      <c r="I161" s="13">
        <v>68006466</v>
      </c>
    </row>
    <row r="162" spans="1:9" ht="15" customHeight="1" x14ac:dyDescent="0.35">
      <c r="A162" s="11">
        <v>10</v>
      </c>
      <c r="B162" s="12">
        <v>45383</v>
      </c>
      <c r="C162" s="16" t="s">
        <v>236</v>
      </c>
      <c r="D162" s="16" t="s">
        <v>243</v>
      </c>
      <c r="E162" s="16" t="s">
        <v>240</v>
      </c>
      <c r="F162" s="14">
        <v>0.3931</v>
      </c>
      <c r="G162" s="14">
        <v>0.6069</v>
      </c>
      <c r="H162" s="13">
        <v>24</v>
      </c>
      <c r="I162" s="13">
        <v>61883448</v>
      </c>
    </row>
    <row r="163" spans="1:9" ht="15" customHeight="1" x14ac:dyDescent="0.35">
      <c r="A163" s="11">
        <v>10</v>
      </c>
      <c r="B163" s="12">
        <v>45383</v>
      </c>
      <c r="C163" s="16" t="s">
        <v>236</v>
      </c>
      <c r="D163" s="16" t="s">
        <v>243</v>
      </c>
      <c r="E163" s="16" t="s">
        <v>241</v>
      </c>
      <c r="F163" s="14">
        <v>0.72389999999999999</v>
      </c>
      <c r="G163" s="14">
        <v>0.27610000000000001</v>
      </c>
      <c r="H163" s="13">
        <v>87</v>
      </c>
      <c r="I163" s="13">
        <v>79312915</v>
      </c>
    </row>
    <row r="164" spans="1:9" ht="15" customHeight="1" x14ac:dyDescent="0.35">
      <c r="A164" s="11">
        <v>10</v>
      </c>
      <c r="B164" s="12">
        <v>45383</v>
      </c>
      <c r="C164" s="16" t="s">
        <v>244</v>
      </c>
      <c r="D164" s="16" t="s">
        <v>237</v>
      </c>
      <c r="E164" s="16" t="s">
        <v>238</v>
      </c>
      <c r="F164" s="14">
        <v>1.89E-2</v>
      </c>
      <c r="G164" s="14">
        <v>0.98109999999999997</v>
      </c>
      <c r="H164" s="13">
        <v>191</v>
      </c>
      <c r="I164" s="13">
        <v>203162061</v>
      </c>
    </row>
    <row r="165" spans="1:9" ht="15" customHeight="1" x14ac:dyDescent="0.35">
      <c r="A165" s="11">
        <v>10</v>
      </c>
      <c r="B165" s="12">
        <v>45383</v>
      </c>
      <c r="C165" s="16" t="s">
        <v>244</v>
      </c>
      <c r="D165" s="16" t="s">
        <v>237</v>
      </c>
      <c r="E165" s="16" t="s">
        <v>239</v>
      </c>
      <c r="F165" s="14">
        <v>0.1361</v>
      </c>
      <c r="G165" s="14">
        <v>0.8639</v>
      </c>
      <c r="H165" s="13">
        <v>142</v>
      </c>
      <c r="I165" s="13">
        <v>388698700</v>
      </c>
    </row>
    <row r="166" spans="1:9" ht="15" customHeight="1" x14ac:dyDescent="0.35">
      <c r="A166" s="11">
        <v>10</v>
      </c>
      <c r="B166" s="12">
        <v>45383</v>
      </c>
      <c r="C166" s="16" t="s">
        <v>244</v>
      </c>
      <c r="D166" s="16" t="s">
        <v>237</v>
      </c>
      <c r="E166" s="16" t="s">
        <v>240</v>
      </c>
      <c r="F166" s="14">
        <v>0.38629999999999998</v>
      </c>
      <c r="G166" s="14">
        <v>0.61370000000000002</v>
      </c>
      <c r="H166" s="13">
        <v>74</v>
      </c>
      <c r="I166" s="13">
        <v>73315855</v>
      </c>
    </row>
    <row r="167" spans="1:9" ht="15" customHeight="1" x14ac:dyDescent="0.35">
      <c r="A167" s="11">
        <v>10</v>
      </c>
      <c r="B167" s="12">
        <v>45383</v>
      </c>
      <c r="C167" s="16" t="s">
        <v>244</v>
      </c>
      <c r="D167" s="16" t="s">
        <v>237</v>
      </c>
      <c r="E167" s="16" t="s">
        <v>241</v>
      </c>
      <c r="F167" s="14">
        <v>0.81859999999999999</v>
      </c>
      <c r="G167" s="14">
        <v>0.18140000000000001</v>
      </c>
      <c r="H167" s="13">
        <v>80</v>
      </c>
      <c r="I167" s="13">
        <v>65034059</v>
      </c>
    </row>
    <row r="168" spans="1:9" ht="15" customHeight="1" x14ac:dyDescent="0.35">
      <c r="A168" s="11">
        <v>10</v>
      </c>
      <c r="B168" s="12">
        <v>45383</v>
      </c>
      <c r="C168" s="16" t="s">
        <v>244</v>
      </c>
      <c r="D168" s="16" t="s">
        <v>242</v>
      </c>
      <c r="E168" s="16" t="s">
        <v>238</v>
      </c>
      <c r="F168" s="14">
        <v>1.8800000000000001E-2</v>
      </c>
      <c r="G168" s="14">
        <v>0.98119999999999996</v>
      </c>
      <c r="H168" s="13">
        <v>146</v>
      </c>
      <c r="I168" s="13">
        <v>107101369</v>
      </c>
    </row>
    <row r="169" spans="1:9" ht="15" customHeight="1" x14ac:dyDescent="0.35">
      <c r="A169" s="11">
        <v>10</v>
      </c>
      <c r="B169" s="12">
        <v>45383</v>
      </c>
      <c r="C169" s="16" t="s">
        <v>244</v>
      </c>
      <c r="D169" s="16" t="s">
        <v>242</v>
      </c>
      <c r="E169" s="16" t="s">
        <v>239</v>
      </c>
      <c r="F169" s="14">
        <v>0.12509999999999999</v>
      </c>
      <c r="G169" s="14">
        <v>0.87490000000000001</v>
      </c>
      <c r="H169" s="13">
        <v>161</v>
      </c>
      <c r="I169" s="13">
        <v>459496813</v>
      </c>
    </row>
    <row r="170" spans="1:9" ht="15" customHeight="1" x14ac:dyDescent="0.35">
      <c r="A170" s="11">
        <v>10</v>
      </c>
      <c r="B170" s="12">
        <v>45383</v>
      </c>
      <c r="C170" s="16" t="s">
        <v>244</v>
      </c>
      <c r="D170" s="16" t="s">
        <v>242</v>
      </c>
      <c r="E170" s="16" t="s">
        <v>240</v>
      </c>
      <c r="F170" s="14">
        <v>0.31369999999999998</v>
      </c>
      <c r="G170" s="14">
        <v>0.68630000000000002</v>
      </c>
      <c r="H170" s="13">
        <v>178</v>
      </c>
      <c r="I170" s="13">
        <v>366893238</v>
      </c>
    </row>
    <row r="171" spans="1:9" ht="15" customHeight="1" x14ac:dyDescent="0.35">
      <c r="A171" s="11">
        <v>10</v>
      </c>
      <c r="B171" s="12">
        <v>45383</v>
      </c>
      <c r="C171" s="16" t="s">
        <v>244</v>
      </c>
      <c r="D171" s="16" t="s">
        <v>242</v>
      </c>
      <c r="E171" s="16" t="s">
        <v>241</v>
      </c>
      <c r="F171" s="14">
        <v>0.80679999999999996</v>
      </c>
      <c r="G171" s="14">
        <v>0.19320000000000001</v>
      </c>
      <c r="H171" s="13">
        <v>96</v>
      </c>
      <c r="I171" s="13">
        <v>250207201</v>
      </c>
    </row>
    <row r="172" spans="1:9" ht="15" customHeight="1" x14ac:dyDescent="0.35">
      <c r="A172" s="11">
        <v>10</v>
      </c>
      <c r="B172" s="12">
        <v>45383</v>
      </c>
      <c r="C172" s="16" t="s">
        <v>244</v>
      </c>
      <c r="D172" s="16" t="s">
        <v>243</v>
      </c>
      <c r="E172" s="16" t="s">
        <v>238</v>
      </c>
      <c r="F172" s="14">
        <v>2.0400000000000001E-2</v>
      </c>
      <c r="G172" s="14">
        <v>0.97960000000000003</v>
      </c>
      <c r="H172" s="13">
        <v>17</v>
      </c>
      <c r="I172" s="13">
        <v>11951971</v>
      </c>
    </row>
    <row r="173" spans="1:9" ht="15" customHeight="1" x14ac:dyDescent="0.35">
      <c r="A173" s="11">
        <v>10</v>
      </c>
      <c r="B173" s="12">
        <v>45383</v>
      </c>
      <c r="C173" s="16" t="s">
        <v>244</v>
      </c>
      <c r="D173" s="16" t="s">
        <v>243</v>
      </c>
      <c r="E173" s="16" t="s">
        <v>239</v>
      </c>
      <c r="F173" s="14">
        <v>0.1361</v>
      </c>
      <c r="G173" s="14">
        <v>0.8639</v>
      </c>
      <c r="H173" s="13">
        <v>157</v>
      </c>
      <c r="I173" s="13">
        <v>182377444</v>
      </c>
    </row>
    <row r="174" spans="1:9" ht="15" customHeight="1" x14ac:dyDescent="0.35">
      <c r="A174" s="11">
        <v>10</v>
      </c>
      <c r="B174" s="12">
        <v>45383</v>
      </c>
      <c r="C174" s="16" t="s">
        <v>244</v>
      </c>
      <c r="D174" s="16" t="s">
        <v>243</v>
      </c>
      <c r="E174" s="16" t="s">
        <v>240</v>
      </c>
      <c r="F174" s="14">
        <v>0.3196</v>
      </c>
      <c r="G174" s="14">
        <v>0.6804</v>
      </c>
      <c r="H174" s="13">
        <v>156</v>
      </c>
      <c r="I174" s="13">
        <v>240468846</v>
      </c>
    </row>
    <row r="175" spans="1:9" ht="15" customHeight="1" x14ac:dyDescent="0.35">
      <c r="A175" s="11">
        <v>10</v>
      </c>
      <c r="B175" s="12">
        <v>45383</v>
      </c>
      <c r="C175" s="16" t="s">
        <v>244</v>
      </c>
      <c r="D175" s="16" t="s">
        <v>243</v>
      </c>
      <c r="E175" s="16" t="s">
        <v>241</v>
      </c>
      <c r="F175" s="14">
        <v>0.75</v>
      </c>
      <c r="G175" s="14">
        <v>0.25</v>
      </c>
      <c r="H175" s="13">
        <v>137</v>
      </c>
      <c r="I175" s="13">
        <v>372981432</v>
      </c>
    </row>
    <row r="176" spans="1:9" ht="15" customHeight="1" x14ac:dyDescent="0.35">
      <c r="A176" s="11">
        <v>10</v>
      </c>
      <c r="B176" s="12">
        <v>45383</v>
      </c>
      <c r="C176" s="16" t="s">
        <v>245</v>
      </c>
      <c r="D176" s="16" t="s">
        <v>237</v>
      </c>
      <c r="E176" s="16" t="s">
        <v>238</v>
      </c>
      <c r="F176" s="14">
        <v>2.0299999999999999E-2</v>
      </c>
      <c r="G176" s="14">
        <v>0.97970000000000002</v>
      </c>
      <c r="H176" s="13">
        <v>174</v>
      </c>
      <c r="I176" s="13">
        <v>503142824</v>
      </c>
    </row>
    <row r="177" spans="1:9" ht="15" customHeight="1" x14ac:dyDescent="0.35">
      <c r="A177" s="11">
        <v>10</v>
      </c>
      <c r="B177" s="12">
        <v>45383</v>
      </c>
      <c r="C177" s="16" t="s">
        <v>245</v>
      </c>
      <c r="D177" s="16" t="s">
        <v>237</v>
      </c>
      <c r="E177" s="16" t="s">
        <v>239</v>
      </c>
      <c r="F177" s="14">
        <v>0.11940000000000001</v>
      </c>
      <c r="G177" s="14">
        <v>0.88060000000000005</v>
      </c>
      <c r="H177" s="13">
        <v>185</v>
      </c>
      <c r="I177" s="13">
        <v>280317794</v>
      </c>
    </row>
    <row r="178" spans="1:9" ht="15" customHeight="1" x14ac:dyDescent="0.35">
      <c r="A178" s="11">
        <v>10</v>
      </c>
      <c r="B178" s="12">
        <v>45383</v>
      </c>
      <c r="C178" s="16" t="s">
        <v>245</v>
      </c>
      <c r="D178" s="16" t="s">
        <v>237</v>
      </c>
      <c r="E178" s="16" t="s">
        <v>240</v>
      </c>
      <c r="F178" s="14">
        <v>0.34510000000000002</v>
      </c>
      <c r="G178" s="14">
        <v>0.65490000000000004</v>
      </c>
      <c r="H178" s="13">
        <v>186</v>
      </c>
      <c r="I178" s="13">
        <v>120859560</v>
      </c>
    </row>
    <row r="179" spans="1:9" ht="15" customHeight="1" x14ac:dyDescent="0.35">
      <c r="A179" s="11">
        <v>10</v>
      </c>
      <c r="B179" s="12">
        <v>45383</v>
      </c>
      <c r="C179" s="16" t="s">
        <v>245</v>
      </c>
      <c r="D179" s="16" t="s">
        <v>237</v>
      </c>
      <c r="E179" s="16" t="s">
        <v>241</v>
      </c>
      <c r="F179" s="14">
        <v>0.70699999999999996</v>
      </c>
      <c r="G179" s="14">
        <v>0.29299999999999998</v>
      </c>
      <c r="H179" s="13">
        <v>133</v>
      </c>
      <c r="I179" s="13">
        <v>220927017</v>
      </c>
    </row>
    <row r="180" spans="1:9" ht="15" customHeight="1" x14ac:dyDescent="0.35">
      <c r="A180" s="11">
        <v>10</v>
      </c>
      <c r="B180" s="12">
        <v>45383</v>
      </c>
      <c r="C180" s="16" t="s">
        <v>245</v>
      </c>
      <c r="D180" s="16" t="s">
        <v>242</v>
      </c>
      <c r="E180" s="16" t="s">
        <v>238</v>
      </c>
      <c r="F180" s="14">
        <v>1.9E-2</v>
      </c>
      <c r="G180" s="14">
        <v>0.98099999999999998</v>
      </c>
      <c r="H180" s="13">
        <v>46</v>
      </c>
      <c r="I180" s="13">
        <v>58946987</v>
      </c>
    </row>
    <row r="181" spans="1:9" ht="15" customHeight="1" x14ac:dyDescent="0.35">
      <c r="A181" s="11">
        <v>10</v>
      </c>
      <c r="B181" s="12">
        <v>45383</v>
      </c>
      <c r="C181" s="16" t="s">
        <v>245</v>
      </c>
      <c r="D181" s="16" t="s">
        <v>242</v>
      </c>
      <c r="E181" s="16" t="s">
        <v>239</v>
      </c>
      <c r="F181" s="14">
        <v>0.12790000000000001</v>
      </c>
      <c r="G181" s="14">
        <v>0.87209999999999999</v>
      </c>
      <c r="H181" s="13">
        <v>197</v>
      </c>
      <c r="I181" s="13">
        <v>585101509</v>
      </c>
    </row>
    <row r="182" spans="1:9" ht="15" customHeight="1" x14ac:dyDescent="0.35">
      <c r="A182" s="11">
        <v>10</v>
      </c>
      <c r="B182" s="12">
        <v>45383</v>
      </c>
      <c r="C182" s="16" t="s">
        <v>245</v>
      </c>
      <c r="D182" s="16" t="s">
        <v>242</v>
      </c>
      <c r="E182" s="16" t="s">
        <v>240</v>
      </c>
      <c r="F182" s="14">
        <v>0.33379999999999999</v>
      </c>
      <c r="G182" s="14">
        <v>0.66620000000000001</v>
      </c>
      <c r="H182" s="13">
        <v>112</v>
      </c>
      <c r="I182" s="13">
        <v>92614522</v>
      </c>
    </row>
    <row r="183" spans="1:9" ht="15" customHeight="1" x14ac:dyDescent="0.35">
      <c r="A183" s="11">
        <v>10</v>
      </c>
      <c r="B183" s="12">
        <v>45383</v>
      </c>
      <c r="C183" s="16" t="s">
        <v>245</v>
      </c>
      <c r="D183" s="16" t="s">
        <v>242</v>
      </c>
      <c r="E183" s="16" t="s">
        <v>241</v>
      </c>
      <c r="F183" s="14">
        <v>0.69199999999999995</v>
      </c>
      <c r="G183" s="14">
        <v>0.308</v>
      </c>
      <c r="H183" s="13">
        <v>153</v>
      </c>
      <c r="I183" s="13">
        <v>117115355</v>
      </c>
    </row>
    <row r="184" spans="1:9" ht="15" customHeight="1" x14ac:dyDescent="0.35">
      <c r="A184" s="11">
        <v>10</v>
      </c>
      <c r="B184" s="12">
        <v>45383</v>
      </c>
      <c r="C184" s="16" t="s">
        <v>245</v>
      </c>
      <c r="D184" s="16" t="s">
        <v>243</v>
      </c>
      <c r="E184" s="16" t="s">
        <v>238</v>
      </c>
      <c r="F184" s="14">
        <v>1.8499999999999999E-2</v>
      </c>
      <c r="G184" s="14">
        <v>0.98150000000000004</v>
      </c>
      <c r="H184" s="13">
        <v>41</v>
      </c>
      <c r="I184" s="13">
        <v>47915847</v>
      </c>
    </row>
    <row r="185" spans="1:9" ht="15" customHeight="1" x14ac:dyDescent="0.35">
      <c r="A185" s="11">
        <v>10</v>
      </c>
      <c r="B185" s="12">
        <v>45383</v>
      </c>
      <c r="C185" s="16" t="s">
        <v>245</v>
      </c>
      <c r="D185" s="16" t="s">
        <v>243</v>
      </c>
      <c r="E185" s="16" t="s">
        <v>239</v>
      </c>
      <c r="F185" s="14">
        <v>0.1109</v>
      </c>
      <c r="G185" s="14">
        <v>0.8891</v>
      </c>
      <c r="H185" s="13">
        <v>34</v>
      </c>
      <c r="I185" s="13">
        <v>21301450</v>
      </c>
    </row>
    <row r="186" spans="1:9" ht="15" customHeight="1" x14ac:dyDescent="0.35">
      <c r="A186" s="11">
        <v>10</v>
      </c>
      <c r="B186" s="12">
        <v>45383</v>
      </c>
      <c r="C186" s="16" t="s">
        <v>245</v>
      </c>
      <c r="D186" s="16" t="s">
        <v>243</v>
      </c>
      <c r="E186" s="16" t="s">
        <v>240</v>
      </c>
      <c r="F186" s="14">
        <v>0.39679999999999999</v>
      </c>
      <c r="G186" s="14">
        <v>0.60319999999999996</v>
      </c>
      <c r="H186" s="13">
        <v>167</v>
      </c>
      <c r="I186" s="13">
        <v>258071255</v>
      </c>
    </row>
    <row r="187" spans="1:9" ht="15" customHeight="1" x14ac:dyDescent="0.35">
      <c r="A187" s="11">
        <v>10</v>
      </c>
      <c r="B187" s="12">
        <v>45383</v>
      </c>
      <c r="C187" s="16" t="s">
        <v>245</v>
      </c>
      <c r="D187" s="16" t="s">
        <v>243</v>
      </c>
      <c r="E187" s="16" t="s">
        <v>241</v>
      </c>
      <c r="F187" s="14">
        <v>0.81989999999999996</v>
      </c>
      <c r="G187" s="14">
        <v>0.18010000000000001</v>
      </c>
      <c r="H187" s="13">
        <v>50</v>
      </c>
      <c r="I187" s="13">
        <v>126684731</v>
      </c>
    </row>
    <row r="188" spans="1:9" ht="15" customHeight="1" x14ac:dyDescent="0.35">
      <c r="A188" s="11">
        <v>10</v>
      </c>
      <c r="B188" s="12">
        <v>45383</v>
      </c>
      <c r="C188" s="16" t="s">
        <v>246</v>
      </c>
      <c r="D188" s="16" t="s">
        <v>237</v>
      </c>
      <c r="E188" s="16" t="s">
        <v>238</v>
      </c>
      <c r="F188" s="14">
        <v>2.2599999999999999E-2</v>
      </c>
      <c r="G188" s="14">
        <v>0.97740000000000005</v>
      </c>
      <c r="H188" s="13">
        <v>194</v>
      </c>
      <c r="I188" s="13">
        <v>248666737</v>
      </c>
    </row>
    <row r="189" spans="1:9" ht="15" customHeight="1" x14ac:dyDescent="0.35">
      <c r="A189" s="11">
        <v>10</v>
      </c>
      <c r="B189" s="12">
        <v>45383</v>
      </c>
      <c r="C189" s="16" t="s">
        <v>246</v>
      </c>
      <c r="D189" s="16" t="s">
        <v>237</v>
      </c>
      <c r="E189" s="16" t="s">
        <v>239</v>
      </c>
      <c r="F189" s="14">
        <v>0.1295</v>
      </c>
      <c r="G189" s="14">
        <v>0.87050000000000005</v>
      </c>
      <c r="H189" s="13">
        <v>137</v>
      </c>
      <c r="I189" s="13">
        <v>409619523</v>
      </c>
    </row>
    <row r="190" spans="1:9" ht="15" customHeight="1" x14ac:dyDescent="0.35">
      <c r="A190" s="11">
        <v>10</v>
      </c>
      <c r="B190" s="12">
        <v>45383</v>
      </c>
      <c r="C190" s="16" t="s">
        <v>246</v>
      </c>
      <c r="D190" s="16" t="s">
        <v>237</v>
      </c>
      <c r="E190" s="16" t="s">
        <v>240</v>
      </c>
      <c r="F190" s="14">
        <v>0.34649999999999997</v>
      </c>
      <c r="G190" s="14">
        <v>0.65349999999999997</v>
      </c>
      <c r="H190" s="13">
        <v>88</v>
      </c>
      <c r="I190" s="13">
        <v>153421460</v>
      </c>
    </row>
    <row r="191" spans="1:9" ht="15" customHeight="1" x14ac:dyDescent="0.35">
      <c r="A191" s="11">
        <v>10</v>
      </c>
      <c r="B191" s="12">
        <v>45383</v>
      </c>
      <c r="C191" s="16" t="s">
        <v>246</v>
      </c>
      <c r="D191" s="16" t="s">
        <v>237</v>
      </c>
      <c r="E191" s="16" t="s">
        <v>241</v>
      </c>
      <c r="F191" s="14">
        <v>0.63149999999999995</v>
      </c>
      <c r="G191" s="14">
        <v>0.36849999999999999</v>
      </c>
      <c r="H191" s="13">
        <v>110</v>
      </c>
      <c r="I191" s="13">
        <v>193997227</v>
      </c>
    </row>
    <row r="192" spans="1:9" ht="15" customHeight="1" x14ac:dyDescent="0.35">
      <c r="A192" s="11">
        <v>10</v>
      </c>
      <c r="B192" s="12">
        <v>45383</v>
      </c>
      <c r="C192" s="16" t="s">
        <v>246</v>
      </c>
      <c r="D192" s="16" t="s">
        <v>242</v>
      </c>
      <c r="E192" s="16" t="s">
        <v>238</v>
      </c>
      <c r="F192" s="14">
        <v>2.2800000000000001E-2</v>
      </c>
      <c r="G192" s="14">
        <v>0.97719999999999996</v>
      </c>
      <c r="H192" s="13">
        <v>65</v>
      </c>
      <c r="I192" s="13">
        <v>127293418</v>
      </c>
    </row>
    <row r="193" spans="1:9" ht="15" customHeight="1" x14ac:dyDescent="0.35">
      <c r="A193" s="11">
        <v>10</v>
      </c>
      <c r="B193" s="12">
        <v>45383</v>
      </c>
      <c r="C193" s="16" t="s">
        <v>246</v>
      </c>
      <c r="D193" s="16" t="s">
        <v>242</v>
      </c>
      <c r="E193" s="16" t="s">
        <v>239</v>
      </c>
      <c r="F193" s="14">
        <v>0.1038</v>
      </c>
      <c r="G193" s="14">
        <v>0.8962</v>
      </c>
      <c r="H193" s="13">
        <v>82</v>
      </c>
      <c r="I193" s="13">
        <v>142453312</v>
      </c>
    </row>
    <row r="194" spans="1:9" ht="15" customHeight="1" x14ac:dyDescent="0.35">
      <c r="A194" s="11">
        <v>10</v>
      </c>
      <c r="B194" s="12">
        <v>45383</v>
      </c>
      <c r="C194" s="16" t="s">
        <v>246</v>
      </c>
      <c r="D194" s="16" t="s">
        <v>242</v>
      </c>
      <c r="E194" s="16" t="s">
        <v>240</v>
      </c>
      <c r="F194" s="14">
        <v>0.3901</v>
      </c>
      <c r="G194" s="14">
        <v>0.6099</v>
      </c>
      <c r="H194" s="13">
        <v>177</v>
      </c>
      <c r="I194" s="13">
        <v>386090367</v>
      </c>
    </row>
    <row r="195" spans="1:9" ht="15" customHeight="1" x14ac:dyDescent="0.35">
      <c r="A195" s="11">
        <v>10</v>
      </c>
      <c r="B195" s="12">
        <v>45383</v>
      </c>
      <c r="C195" s="16" t="s">
        <v>246</v>
      </c>
      <c r="D195" s="16" t="s">
        <v>242</v>
      </c>
      <c r="E195" s="16" t="s">
        <v>241</v>
      </c>
      <c r="F195" s="14">
        <v>0.67369999999999997</v>
      </c>
      <c r="G195" s="14">
        <v>0.32629999999999998</v>
      </c>
      <c r="H195" s="13">
        <v>12</v>
      </c>
      <c r="I195" s="13">
        <v>31415171</v>
      </c>
    </row>
    <row r="196" spans="1:9" ht="15" customHeight="1" x14ac:dyDescent="0.35">
      <c r="A196" s="11">
        <v>10</v>
      </c>
      <c r="B196" s="12">
        <v>45383</v>
      </c>
      <c r="C196" s="16" t="s">
        <v>246</v>
      </c>
      <c r="D196" s="16" t="s">
        <v>243</v>
      </c>
      <c r="E196" s="16" t="s">
        <v>238</v>
      </c>
      <c r="F196" s="14">
        <v>1.9599999999999999E-2</v>
      </c>
      <c r="G196" s="14">
        <v>0.98040000000000005</v>
      </c>
      <c r="H196" s="13">
        <v>77</v>
      </c>
      <c r="I196" s="13">
        <v>178545302</v>
      </c>
    </row>
    <row r="197" spans="1:9" ht="15" customHeight="1" x14ac:dyDescent="0.35">
      <c r="A197" s="11">
        <v>10</v>
      </c>
      <c r="B197" s="12">
        <v>45383</v>
      </c>
      <c r="C197" s="16" t="s">
        <v>246</v>
      </c>
      <c r="D197" s="16" t="s">
        <v>243</v>
      </c>
      <c r="E197" s="16" t="s">
        <v>239</v>
      </c>
      <c r="F197" s="14">
        <v>0.1295</v>
      </c>
      <c r="G197" s="14">
        <v>0.87050000000000005</v>
      </c>
      <c r="H197" s="13">
        <v>103</v>
      </c>
      <c r="I197" s="13">
        <v>63149917</v>
      </c>
    </row>
    <row r="198" spans="1:9" ht="15" customHeight="1" x14ac:dyDescent="0.35">
      <c r="A198" s="11">
        <v>10</v>
      </c>
      <c r="B198" s="12">
        <v>45383</v>
      </c>
      <c r="C198" s="16" t="s">
        <v>246</v>
      </c>
      <c r="D198" s="16" t="s">
        <v>243</v>
      </c>
      <c r="E198" s="16" t="s">
        <v>240</v>
      </c>
      <c r="F198" s="14">
        <v>0.3029</v>
      </c>
      <c r="G198" s="14">
        <v>0.69710000000000005</v>
      </c>
      <c r="H198" s="13">
        <v>153</v>
      </c>
      <c r="I198" s="13">
        <v>150955653</v>
      </c>
    </row>
    <row r="199" spans="1:9" ht="15" customHeight="1" x14ac:dyDescent="0.35">
      <c r="A199" s="11">
        <v>10</v>
      </c>
      <c r="B199" s="12">
        <v>45383</v>
      </c>
      <c r="C199" s="16" t="s">
        <v>246</v>
      </c>
      <c r="D199" s="16" t="s">
        <v>243</v>
      </c>
      <c r="E199" s="16" t="s">
        <v>241</v>
      </c>
      <c r="F199" s="14">
        <v>0.73150000000000004</v>
      </c>
      <c r="G199" s="14">
        <v>0.26850000000000002</v>
      </c>
      <c r="H199" s="13">
        <v>28</v>
      </c>
      <c r="I199" s="13">
        <v>41044418</v>
      </c>
    </row>
    <row r="200" spans="1:9" ht="15" customHeight="1" x14ac:dyDescent="0.35">
      <c r="A200" s="11">
        <v>13</v>
      </c>
      <c r="B200" s="12">
        <v>45474</v>
      </c>
      <c r="C200" s="16" t="s">
        <v>236</v>
      </c>
      <c r="D200" s="16" t="s">
        <v>237</v>
      </c>
      <c r="E200" s="16" t="s">
        <v>238</v>
      </c>
      <c r="F200" s="14">
        <v>1.9699999999999999E-2</v>
      </c>
      <c r="G200" s="14">
        <v>0.98029999999999995</v>
      </c>
      <c r="H200" s="13">
        <v>150</v>
      </c>
      <c r="I200" s="13">
        <v>179895254</v>
      </c>
    </row>
    <row r="201" spans="1:9" ht="15" customHeight="1" x14ac:dyDescent="0.35">
      <c r="A201" s="11">
        <v>13</v>
      </c>
      <c r="B201" s="12">
        <v>45474</v>
      </c>
      <c r="C201" s="16" t="s">
        <v>236</v>
      </c>
      <c r="D201" s="16" t="s">
        <v>237</v>
      </c>
      <c r="E201" s="16" t="s">
        <v>239</v>
      </c>
      <c r="F201" s="14">
        <v>0.1376</v>
      </c>
      <c r="G201" s="14">
        <v>0.86240000000000006</v>
      </c>
      <c r="H201" s="13">
        <v>184</v>
      </c>
      <c r="I201" s="13">
        <v>373079845</v>
      </c>
    </row>
    <row r="202" spans="1:9" ht="15" customHeight="1" x14ac:dyDescent="0.35">
      <c r="A202" s="11">
        <v>13</v>
      </c>
      <c r="B202" s="12">
        <v>45474</v>
      </c>
      <c r="C202" s="16" t="s">
        <v>236</v>
      </c>
      <c r="D202" s="16" t="s">
        <v>237</v>
      </c>
      <c r="E202" s="16" t="s">
        <v>240</v>
      </c>
      <c r="F202" s="14">
        <v>0.311</v>
      </c>
      <c r="G202" s="14">
        <v>0.68899999999999995</v>
      </c>
      <c r="H202" s="13">
        <v>34</v>
      </c>
      <c r="I202" s="13">
        <v>50481816</v>
      </c>
    </row>
    <row r="203" spans="1:9" ht="15" customHeight="1" x14ac:dyDescent="0.35">
      <c r="A203" s="11">
        <v>13</v>
      </c>
      <c r="B203" s="12">
        <v>45474</v>
      </c>
      <c r="C203" s="16" t="s">
        <v>236</v>
      </c>
      <c r="D203" s="16" t="s">
        <v>237</v>
      </c>
      <c r="E203" s="16" t="s">
        <v>241</v>
      </c>
      <c r="F203" s="14">
        <v>0.78369999999999995</v>
      </c>
      <c r="G203" s="14">
        <v>0.21629999999999999</v>
      </c>
      <c r="H203" s="13">
        <v>96</v>
      </c>
      <c r="I203" s="13">
        <v>181879641</v>
      </c>
    </row>
    <row r="204" spans="1:9" ht="15" customHeight="1" x14ac:dyDescent="0.35">
      <c r="A204" s="11">
        <v>13</v>
      </c>
      <c r="B204" s="12">
        <v>45474</v>
      </c>
      <c r="C204" s="16" t="s">
        <v>236</v>
      </c>
      <c r="D204" s="16" t="s">
        <v>242</v>
      </c>
      <c r="E204" s="16" t="s">
        <v>238</v>
      </c>
      <c r="F204" s="14">
        <v>1.9199999999999998E-2</v>
      </c>
      <c r="G204" s="14">
        <v>0.98080000000000001</v>
      </c>
      <c r="H204" s="13">
        <v>46</v>
      </c>
      <c r="I204" s="13">
        <v>45891656</v>
      </c>
    </row>
    <row r="205" spans="1:9" ht="15" customHeight="1" x14ac:dyDescent="0.35">
      <c r="A205" s="11">
        <v>13</v>
      </c>
      <c r="B205" s="12">
        <v>45474</v>
      </c>
      <c r="C205" s="16" t="s">
        <v>236</v>
      </c>
      <c r="D205" s="16" t="s">
        <v>242</v>
      </c>
      <c r="E205" s="16" t="s">
        <v>239</v>
      </c>
      <c r="F205" s="14">
        <v>0.1203</v>
      </c>
      <c r="G205" s="14">
        <v>0.87970000000000004</v>
      </c>
      <c r="H205" s="13">
        <v>138</v>
      </c>
      <c r="I205" s="13">
        <v>82887943</v>
      </c>
    </row>
    <row r="206" spans="1:9" ht="15" customHeight="1" x14ac:dyDescent="0.35">
      <c r="A206" s="11">
        <v>13</v>
      </c>
      <c r="B206" s="12">
        <v>45474</v>
      </c>
      <c r="C206" s="16" t="s">
        <v>236</v>
      </c>
      <c r="D206" s="16" t="s">
        <v>242</v>
      </c>
      <c r="E206" s="16" t="s">
        <v>240</v>
      </c>
      <c r="F206" s="14">
        <v>0.30159999999999998</v>
      </c>
      <c r="G206" s="14">
        <v>0.69840000000000002</v>
      </c>
      <c r="H206" s="13">
        <v>192</v>
      </c>
      <c r="I206" s="13">
        <v>255859539</v>
      </c>
    </row>
    <row r="207" spans="1:9" ht="15" customHeight="1" x14ac:dyDescent="0.35">
      <c r="A207" s="11">
        <v>13</v>
      </c>
      <c r="B207" s="12">
        <v>45474</v>
      </c>
      <c r="C207" s="16" t="s">
        <v>236</v>
      </c>
      <c r="D207" s="16" t="s">
        <v>242</v>
      </c>
      <c r="E207" s="16" t="s">
        <v>241</v>
      </c>
      <c r="F207" s="14">
        <v>0.71430000000000005</v>
      </c>
      <c r="G207" s="14">
        <v>0.28570000000000001</v>
      </c>
      <c r="H207" s="13">
        <v>126</v>
      </c>
      <c r="I207" s="13">
        <v>109916309</v>
      </c>
    </row>
    <row r="208" spans="1:9" ht="15" customHeight="1" x14ac:dyDescent="0.35">
      <c r="A208" s="11">
        <v>13</v>
      </c>
      <c r="B208" s="12">
        <v>45474</v>
      </c>
      <c r="C208" s="16" t="s">
        <v>236</v>
      </c>
      <c r="D208" s="16" t="s">
        <v>243</v>
      </c>
      <c r="E208" s="16" t="s">
        <v>238</v>
      </c>
      <c r="F208" s="14">
        <v>2.24E-2</v>
      </c>
      <c r="G208" s="14">
        <v>0.97760000000000002</v>
      </c>
      <c r="H208" s="13">
        <v>45</v>
      </c>
      <c r="I208" s="13">
        <v>59396158</v>
      </c>
    </row>
    <row r="209" spans="1:9" ht="15" customHeight="1" x14ac:dyDescent="0.35">
      <c r="A209" s="11">
        <v>13</v>
      </c>
      <c r="B209" s="12">
        <v>45474</v>
      </c>
      <c r="C209" s="16" t="s">
        <v>236</v>
      </c>
      <c r="D209" s="16" t="s">
        <v>243</v>
      </c>
      <c r="E209" s="16" t="s">
        <v>239</v>
      </c>
      <c r="F209" s="14">
        <v>0.1241</v>
      </c>
      <c r="G209" s="14">
        <v>0.87590000000000001</v>
      </c>
      <c r="H209" s="13">
        <v>51</v>
      </c>
      <c r="I209" s="13">
        <v>75601710</v>
      </c>
    </row>
    <row r="210" spans="1:9" ht="15" customHeight="1" x14ac:dyDescent="0.35">
      <c r="A210" s="11">
        <v>13</v>
      </c>
      <c r="B210" s="12">
        <v>45474</v>
      </c>
      <c r="C210" s="16" t="s">
        <v>236</v>
      </c>
      <c r="D210" s="16" t="s">
        <v>243</v>
      </c>
      <c r="E210" s="16" t="s">
        <v>240</v>
      </c>
      <c r="F210" s="14">
        <v>0.36220000000000002</v>
      </c>
      <c r="G210" s="14">
        <v>0.63780000000000003</v>
      </c>
      <c r="H210" s="13">
        <v>86</v>
      </c>
      <c r="I210" s="13">
        <v>170650801</v>
      </c>
    </row>
    <row r="211" spans="1:9" ht="15" customHeight="1" x14ac:dyDescent="0.35">
      <c r="A211" s="11">
        <v>13</v>
      </c>
      <c r="B211" s="12">
        <v>45474</v>
      </c>
      <c r="C211" s="16" t="s">
        <v>236</v>
      </c>
      <c r="D211" s="16" t="s">
        <v>243</v>
      </c>
      <c r="E211" s="16" t="s">
        <v>241</v>
      </c>
      <c r="F211" s="14">
        <v>0.72160000000000002</v>
      </c>
      <c r="G211" s="14">
        <v>0.27839999999999998</v>
      </c>
      <c r="H211" s="13">
        <v>140</v>
      </c>
      <c r="I211" s="13">
        <v>256318940</v>
      </c>
    </row>
    <row r="212" spans="1:9" ht="15" customHeight="1" x14ac:dyDescent="0.35">
      <c r="A212" s="11">
        <v>13</v>
      </c>
      <c r="B212" s="12">
        <v>45474</v>
      </c>
      <c r="C212" s="16" t="s">
        <v>244</v>
      </c>
      <c r="D212" s="16" t="s">
        <v>237</v>
      </c>
      <c r="E212" s="16" t="s">
        <v>238</v>
      </c>
      <c r="F212" s="14">
        <v>2.1299999999999999E-2</v>
      </c>
      <c r="G212" s="14">
        <v>0.97870000000000001</v>
      </c>
      <c r="H212" s="13">
        <v>86</v>
      </c>
      <c r="I212" s="13">
        <v>145101909</v>
      </c>
    </row>
    <row r="213" spans="1:9" ht="15" customHeight="1" x14ac:dyDescent="0.35">
      <c r="A213" s="11">
        <v>13</v>
      </c>
      <c r="B213" s="12">
        <v>45474</v>
      </c>
      <c r="C213" s="16" t="s">
        <v>244</v>
      </c>
      <c r="D213" s="16" t="s">
        <v>237</v>
      </c>
      <c r="E213" s="16" t="s">
        <v>239</v>
      </c>
      <c r="F213" s="14">
        <v>0.1026</v>
      </c>
      <c r="G213" s="14">
        <v>0.89739999999999998</v>
      </c>
      <c r="H213" s="13">
        <v>94</v>
      </c>
      <c r="I213" s="13">
        <v>205344502</v>
      </c>
    </row>
    <row r="214" spans="1:9" ht="15" customHeight="1" x14ac:dyDescent="0.35">
      <c r="A214" s="11">
        <v>13</v>
      </c>
      <c r="B214" s="12">
        <v>45474</v>
      </c>
      <c r="C214" s="16" t="s">
        <v>244</v>
      </c>
      <c r="D214" s="16" t="s">
        <v>237</v>
      </c>
      <c r="E214" s="16" t="s">
        <v>240</v>
      </c>
      <c r="F214" s="14">
        <v>0.40039999999999998</v>
      </c>
      <c r="G214" s="14">
        <v>0.59960000000000002</v>
      </c>
      <c r="H214" s="13">
        <v>159</v>
      </c>
      <c r="I214" s="13">
        <v>201801939</v>
      </c>
    </row>
    <row r="215" spans="1:9" ht="15" customHeight="1" x14ac:dyDescent="0.35">
      <c r="A215" s="11">
        <v>13</v>
      </c>
      <c r="B215" s="12">
        <v>45474</v>
      </c>
      <c r="C215" s="16" t="s">
        <v>244</v>
      </c>
      <c r="D215" s="16" t="s">
        <v>237</v>
      </c>
      <c r="E215" s="16" t="s">
        <v>241</v>
      </c>
      <c r="F215" s="14">
        <v>0.80610000000000004</v>
      </c>
      <c r="G215" s="14">
        <v>0.19389999999999999</v>
      </c>
      <c r="H215" s="13">
        <v>186</v>
      </c>
      <c r="I215" s="13">
        <v>385606123</v>
      </c>
    </row>
    <row r="216" spans="1:9" ht="15" customHeight="1" x14ac:dyDescent="0.35">
      <c r="A216" s="11">
        <v>13</v>
      </c>
      <c r="B216" s="12">
        <v>45474</v>
      </c>
      <c r="C216" s="16" t="s">
        <v>244</v>
      </c>
      <c r="D216" s="16" t="s">
        <v>242</v>
      </c>
      <c r="E216" s="16" t="s">
        <v>238</v>
      </c>
      <c r="F216" s="14">
        <v>2.06E-2</v>
      </c>
      <c r="G216" s="14">
        <v>0.97940000000000005</v>
      </c>
      <c r="H216" s="13">
        <v>77</v>
      </c>
      <c r="I216" s="13">
        <v>224661109</v>
      </c>
    </row>
    <row r="217" spans="1:9" ht="15" customHeight="1" x14ac:dyDescent="0.35">
      <c r="A217" s="11">
        <v>13</v>
      </c>
      <c r="B217" s="12">
        <v>45474</v>
      </c>
      <c r="C217" s="16" t="s">
        <v>244</v>
      </c>
      <c r="D217" s="16" t="s">
        <v>242</v>
      </c>
      <c r="E217" s="16" t="s">
        <v>239</v>
      </c>
      <c r="F217" s="14">
        <v>0.13020000000000001</v>
      </c>
      <c r="G217" s="14">
        <v>0.86980000000000002</v>
      </c>
      <c r="H217" s="13">
        <v>158</v>
      </c>
      <c r="I217" s="13">
        <v>307165586</v>
      </c>
    </row>
    <row r="218" spans="1:9" ht="15" customHeight="1" x14ac:dyDescent="0.35">
      <c r="A218" s="11">
        <v>13</v>
      </c>
      <c r="B218" s="12">
        <v>45474</v>
      </c>
      <c r="C218" s="16" t="s">
        <v>244</v>
      </c>
      <c r="D218" s="16" t="s">
        <v>242</v>
      </c>
      <c r="E218" s="16" t="s">
        <v>240</v>
      </c>
      <c r="F218" s="14">
        <v>0.37319999999999998</v>
      </c>
      <c r="G218" s="14">
        <v>0.62680000000000002</v>
      </c>
      <c r="H218" s="13">
        <v>159</v>
      </c>
      <c r="I218" s="13">
        <v>270478392</v>
      </c>
    </row>
    <row r="219" spans="1:9" ht="15" customHeight="1" x14ac:dyDescent="0.35">
      <c r="A219" s="11">
        <v>13</v>
      </c>
      <c r="B219" s="12">
        <v>45474</v>
      </c>
      <c r="C219" s="16" t="s">
        <v>244</v>
      </c>
      <c r="D219" s="16" t="s">
        <v>242</v>
      </c>
      <c r="E219" s="16" t="s">
        <v>241</v>
      </c>
      <c r="F219" s="14">
        <v>0.72519999999999996</v>
      </c>
      <c r="G219" s="14">
        <v>0.27479999999999999</v>
      </c>
      <c r="H219" s="13">
        <v>194</v>
      </c>
      <c r="I219" s="13">
        <v>397571866</v>
      </c>
    </row>
    <row r="220" spans="1:9" ht="15" customHeight="1" x14ac:dyDescent="0.35">
      <c r="A220" s="11">
        <v>13</v>
      </c>
      <c r="B220" s="12">
        <v>45474</v>
      </c>
      <c r="C220" s="16" t="s">
        <v>244</v>
      </c>
      <c r="D220" s="16" t="s">
        <v>243</v>
      </c>
      <c r="E220" s="16" t="s">
        <v>238</v>
      </c>
      <c r="F220" s="14">
        <v>2.1999999999999999E-2</v>
      </c>
      <c r="G220" s="14">
        <v>0.97799999999999998</v>
      </c>
      <c r="H220" s="13">
        <v>47</v>
      </c>
      <c r="I220" s="13">
        <v>120045202</v>
      </c>
    </row>
    <row r="221" spans="1:9" ht="15" customHeight="1" x14ac:dyDescent="0.35">
      <c r="A221" s="11">
        <v>13</v>
      </c>
      <c r="B221" s="12">
        <v>45474</v>
      </c>
      <c r="C221" s="16" t="s">
        <v>244</v>
      </c>
      <c r="D221" s="16" t="s">
        <v>243</v>
      </c>
      <c r="E221" s="16" t="s">
        <v>239</v>
      </c>
      <c r="F221" s="14">
        <v>0.11070000000000001</v>
      </c>
      <c r="G221" s="14">
        <v>0.88929999999999998</v>
      </c>
      <c r="H221" s="13">
        <v>156</v>
      </c>
      <c r="I221" s="13">
        <v>447800017</v>
      </c>
    </row>
    <row r="222" spans="1:9" ht="15" customHeight="1" x14ac:dyDescent="0.35">
      <c r="A222" s="11">
        <v>13</v>
      </c>
      <c r="B222" s="12">
        <v>45474</v>
      </c>
      <c r="C222" s="16" t="s">
        <v>244</v>
      </c>
      <c r="D222" s="16" t="s">
        <v>243</v>
      </c>
      <c r="E222" s="16" t="s">
        <v>240</v>
      </c>
      <c r="F222" s="14">
        <v>0.309</v>
      </c>
      <c r="G222" s="14">
        <v>0.69099999999999995</v>
      </c>
      <c r="H222" s="13">
        <v>14</v>
      </c>
      <c r="I222" s="13">
        <v>22436350</v>
      </c>
    </row>
    <row r="223" spans="1:9" ht="15" customHeight="1" x14ac:dyDescent="0.35">
      <c r="A223" s="11">
        <v>13</v>
      </c>
      <c r="B223" s="12">
        <v>45474</v>
      </c>
      <c r="C223" s="16" t="s">
        <v>244</v>
      </c>
      <c r="D223" s="16" t="s">
        <v>243</v>
      </c>
      <c r="E223" s="16" t="s">
        <v>241</v>
      </c>
      <c r="F223" s="14">
        <v>0.70250000000000001</v>
      </c>
      <c r="G223" s="14">
        <v>0.29749999999999999</v>
      </c>
      <c r="H223" s="13">
        <v>115</v>
      </c>
      <c r="I223" s="13">
        <v>256018825</v>
      </c>
    </row>
    <row r="224" spans="1:9" ht="15" customHeight="1" x14ac:dyDescent="0.35">
      <c r="A224" s="11">
        <v>13</v>
      </c>
      <c r="B224" s="12">
        <v>45474</v>
      </c>
      <c r="C224" s="16" t="s">
        <v>245</v>
      </c>
      <c r="D224" s="16" t="s">
        <v>237</v>
      </c>
      <c r="E224" s="16" t="s">
        <v>238</v>
      </c>
      <c r="F224" s="14">
        <v>1.95E-2</v>
      </c>
      <c r="G224" s="14">
        <v>0.98050000000000004</v>
      </c>
      <c r="H224" s="13">
        <v>166</v>
      </c>
      <c r="I224" s="13">
        <v>465016194</v>
      </c>
    </row>
    <row r="225" spans="1:9" ht="15" customHeight="1" x14ac:dyDescent="0.35">
      <c r="A225" s="11">
        <v>13</v>
      </c>
      <c r="B225" s="12">
        <v>45474</v>
      </c>
      <c r="C225" s="16" t="s">
        <v>245</v>
      </c>
      <c r="D225" s="16" t="s">
        <v>237</v>
      </c>
      <c r="E225" s="16" t="s">
        <v>239</v>
      </c>
      <c r="F225" s="14">
        <v>0.13339999999999999</v>
      </c>
      <c r="G225" s="14">
        <v>0.86660000000000004</v>
      </c>
      <c r="H225" s="13">
        <v>198</v>
      </c>
      <c r="I225" s="13">
        <v>459064039</v>
      </c>
    </row>
    <row r="226" spans="1:9" ht="15" customHeight="1" x14ac:dyDescent="0.35">
      <c r="A226" s="11">
        <v>13</v>
      </c>
      <c r="B226" s="12">
        <v>45474</v>
      </c>
      <c r="C226" s="16" t="s">
        <v>245</v>
      </c>
      <c r="D226" s="16" t="s">
        <v>237</v>
      </c>
      <c r="E226" s="16" t="s">
        <v>240</v>
      </c>
      <c r="F226" s="14">
        <v>0.37159999999999999</v>
      </c>
      <c r="G226" s="14">
        <v>0.62839999999999996</v>
      </c>
      <c r="H226" s="13">
        <v>142</v>
      </c>
      <c r="I226" s="13">
        <v>144606305</v>
      </c>
    </row>
    <row r="227" spans="1:9" ht="15" customHeight="1" x14ac:dyDescent="0.35">
      <c r="A227" s="11">
        <v>13</v>
      </c>
      <c r="B227" s="12">
        <v>45474</v>
      </c>
      <c r="C227" s="16" t="s">
        <v>245</v>
      </c>
      <c r="D227" s="16" t="s">
        <v>237</v>
      </c>
      <c r="E227" s="16" t="s">
        <v>241</v>
      </c>
      <c r="F227" s="14">
        <v>0.68220000000000003</v>
      </c>
      <c r="G227" s="14">
        <v>0.31780000000000003</v>
      </c>
      <c r="H227" s="13">
        <v>179</v>
      </c>
      <c r="I227" s="13">
        <v>303571015</v>
      </c>
    </row>
    <row r="228" spans="1:9" ht="15" customHeight="1" x14ac:dyDescent="0.35">
      <c r="A228" s="11">
        <v>13</v>
      </c>
      <c r="B228" s="12">
        <v>45474</v>
      </c>
      <c r="C228" s="16" t="s">
        <v>245</v>
      </c>
      <c r="D228" s="16" t="s">
        <v>242</v>
      </c>
      <c r="E228" s="16" t="s">
        <v>238</v>
      </c>
      <c r="F228" s="14">
        <v>1.9300000000000001E-2</v>
      </c>
      <c r="G228" s="14">
        <v>0.98070000000000002</v>
      </c>
      <c r="H228" s="13">
        <v>54</v>
      </c>
      <c r="I228" s="13">
        <v>89054577</v>
      </c>
    </row>
    <row r="229" spans="1:9" ht="15" customHeight="1" x14ac:dyDescent="0.35">
      <c r="A229" s="11">
        <v>13</v>
      </c>
      <c r="B229" s="12">
        <v>45474</v>
      </c>
      <c r="C229" s="16" t="s">
        <v>245</v>
      </c>
      <c r="D229" s="16" t="s">
        <v>242</v>
      </c>
      <c r="E229" s="16" t="s">
        <v>239</v>
      </c>
      <c r="F229" s="14">
        <v>0.1212</v>
      </c>
      <c r="G229" s="14">
        <v>0.87880000000000003</v>
      </c>
      <c r="H229" s="13">
        <v>149</v>
      </c>
      <c r="I229" s="13">
        <v>206471903</v>
      </c>
    </row>
    <row r="230" spans="1:9" ht="15" customHeight="1" x14ac:dyDescent="0.35">
      <c r="A230" s="11">
        <v>13</v>
      </c>
      <c r="B230" s="12">
        <v>45474</v>
      </c>
      <c r="C230" s="16" t="s">
        <v>245</v>
      </c>
      <c r="D230" s="16" t="s">
        <v>242</v>
      </c>
      <c r="E230" s="16" t="s">
        <v>240</v>
      </c>
      <c r="F230" s="14">
        <v>0.37859999999999999</v>
      </c>
      <c r="G230" s="14">
        <v>0.62139999999999995</v>
      </c>
      <c r="H230" s="13">
        <v>194</v>
      </c>
      <c r="I230" s="13">
        <v>427161756</v>
      </c>
    </row>
    <row r="231" spans="1:9" ht="15" customHeight="1" x14ac:dyDescent="0.35">
      <c r="A231" s="11">
        <v>13</v>
      </c>
      <c r="B231" s="12">
        <v>45474</v>
      </c>
      <c r="C231" s="16" t="s">
        <v>245</v>
      </c>
      <c r="D231" s="16" t="s">
        <v>242</v>
      </c>
      <c r="E231" s="16" t="s">
        <v>241</v>
      </c>
      <c r="F231" s="14">
        <v>0.78559999999999997</v>
      </c>
      <c r="G231" s="14">
        <v>0.21440000000000001</v>
      </c>
      <c r="H231" s="13">
        <v>77</v>
      </c>
      <c r="I231" s="13">
        <v>155939742</v>
      </c>
    </row>
    <row r="232" spans="1:9" ht="15" customHeight="1" x14ac:dyDescent="0.35">
      <c r="A232" s="11">
        <v>13</v>
      </c>
      <c r="B232" s="12">
        <v>45474</v>
      </c>
      <c r="C232" s="16" t="s">
        <v>245</v>
      </c>
      <c r="D232" s="16" t="s">
        <v>243</v>
      </c>
      <c r="E232" s="16" t="s">
        <v>238</v>
      </c>
      <c r="F232" s="14">
        <v>1.8200000000000001E-2</v>
      </c>
      <c r="G232" s="14">
        <v>0.98180000000000001</v>
      </c>
      <c r="H232" s="13">
        <v>73</v>
      </c>
      <c r="I232" s="13">
        <v>87418667</v>
      </c>
    </row>
    <row r="233" spans="1:9" ht="15" customHeight="1" x14ac:dyDescent="0.35">
      <c r="A233" s="11">
        <v>13</v>
      </c>
      <c r="B233" s="12">
        <v>45474</v>
      </c>
      <c r="C233" s="16" t="s">
        <v>245</v>
      </c>
      <c r="D233" s="16" t="s">
        <v>243</v>
      </c>
      <c r="E233" s="16" t="s">
        <v>239</v>
      </c>
      <c r="F233" s="14">
        <v>0.11269999999999999</v>
      </c>
      <c r="G233" s="14">
        <v>0.88729999999999998</v>
      </c>
      <c r="H233" s="13">
        <v>86</v>
      </c>
      <c r="I233" s="13">
        <v>208802468</v>
      </c>
    </row>
    <row r="234" spans="1:9" ht="15" customHeight="1" x14ac:dyDescent="0.35">
      <c r="A234" s="11">
        <v>13</v>
      </c>
      <c r="B234" s="12">
        <v>45474</v>
      </c>
      <c r="C234" s="16" t="s">
        <v>245</v>
      </c>
      <c r="D234" s="16" t="s">
        <v>243</v>
      </c>
      <c r="E234" s="16" t="s">
        <v>240</v>
      </c>
      <c r="F234" s="14">
        <v>0.3715</v>
      </c>
      <c r="G234" s="14">
        <v>0.62849999999999995</v>
      </c>
      <c r="H234" s="13">
        <v>186</v>
      </c>
      <c r="I234" s="13">
        <v>420819541</v>
      </c>
    </row>
    <row r="235" spans="1:9" ht="15" customHeight="1" x14ac:dyDescent="0.35">
      <c r="A235" s="11">
        <v>13</v>
      </c>
      <c r="B235" s="12">
        <v>45474</v>
      </c>
      <c r="C235" s="16" t="s">
        <v>245</v>
      </c>
      <c r="D235" s="16" t="s">
        <v>243</v>
      </c>
      <c r="E235" s="16" t="s">
        <v>241</v>
      </c>
      <c r="F235" s="14">
        <v>0.68049999999999999</v>
      </c>
      <c r="G235" s="14">
        <v>0.31950000000000001</v>
      </c>
      <c r="H235" s="13">
        <v>99</v>
      </c>
      <c r="I235" s="13">
        <v>188220679</v>
      </c>
    </row>
    <row r="236" spans="1:9" ht="15" customHeight="1" x14ac:dyDescent="0.35">
      <c r="A236" s="11">
        <v>13</v>
      </c>
      <c r="B236" s="12">
        <v>45474</v>
      </c>
      <c r="C236" s="16" t="s">
        <v>246</v>
      </c>
      <c r="D236" s="16" t="s">
        <v>237</v>
      </c>
      <c r="E236" s="16" t="s">
        <v>238</v>
      </c>
      <c r="F236" s="14">
        <v>2.2599999999999999E-2</v>
      </c>
      <c r="G236" s="14">
        <v>0.97740000000000005</v>
      </c>
      <c r="H236" s="13">
        <v>194</v>
      </c>
      <c r="I236" s="13">
        <v>229626905</v>
      </c>
    </row>
    <row r="237" spans="1:9" ht="15" customHeight="1" x14ac:dyDescent="0.35">
      <c r="A237" s="11">
        <v>13</v>
      </c>
      <c r="B237" s="12">
        <v>45474</v>
      </c>
      <c r="C237" s="16" t="s">
        <v>246</v>
      </c>
      <c r="D237" s="16" t="s">
        <v>237</v>
      </c>
      <c r="E237" s="16" t="s">
        <v>239</v>
      </c>
      <c r="F237" s="14">
        <v>0.10639999999999999</v>
      </c>
      <c r="G237" s="14">
        <v>0.89359999999999995</v>
      </c>
      <c r="H237" s="13">
        <v>183</v>
      </c>
      <c r="I237" s="13">
        <v>340009826</v>
      </c>
    </row>
    <row r="238" spans="1:9" ht="15" customHeight="1" x14ac:dyDescent="0.35">
      <c r="A238" s="11">
        <v>13</v>
      </c>
      <c r="B238" s="12">
        <v>45474</v>
      </c>
      <c r="C238" s="16" t="s">
        <v>246</v>
      </c>
      <c r="D238" s="16" t="s">
        <v>237</v>
      </c>
      <c r="E238" s="16" t="s">
        <v>240</v>
      </c>
      <c r="F238" s="14">
        <v>0.3916</v>
      </c>
      <c r="G238" s="14">
        <v>0.60840000000000005</v>
      </c>
      <c r="H238" s="13">
        <v>111</v>
      </c>
      <c r="I238" s="13">
        <v>282599745</v>
      </c>
    </row>
    <row r="239" spans="1:9" ht="15" customHeight="1" x14ac:dyDescent="0.35">
      <c r="A239" s="11">
        <v>13</v>
      </c>
      <c r="B239" s="12">
        <v>45474</v>
      </c>
      <c r="C239" s="16" t="s">
        <v>246</v>
      </c>
      <c r="D239" s="16" t="s">
        <v>237</v>
      </c>
      <c r="E239" s="16" t="s">
        <v>241</v>
      </c>
      <c r="F239" s="14">
        <v>0.81820000000000004</v>
      </c>
      <c r="G239" s="14">
        <v>0.18179999999999999</v>
      </c>
      <c r="H239" s="13">
        <v>47</v>
      </c>
      <c r="I239" s="13">
        <v>57628187</v>
      </c>
    </row>
    <row r="240" spans="1:9" ht="15" customHeight="1" x14ac:dyDescent="0.35">
      <c r="A240" s="11">
        <v>13</v>
      </c>
      <c r="B240" s="12">
        <v>45474</v>
      </c>
      <c r="C240" s="16" t="s">
        <v>246</v>
      </c>
      <c r="D240" s="16" t="s">
        <v>242</v>
      </c>
      <c r="E240" s="16" t="s">
        <v>238</v>
      </c>
      <c r="F240" s="14">
        <v>1.8700000000000001E-2</v>
      </c>
      <c r="G240" s="14">
        <v>0.98129999999999995</v>
      </c>
      <c r="H240" s="13">
        <v>192</v>
      </c>
      <c r="I240" s="13">
        <v>133934129</v>
      </c>
    </row>
    <row r="241" spans="1:9" ht="15" customHeight="1" x14ac:dyDescent="0.35">
      <c r="A241" s="11">
        <v>13</v>
      </c>
      <c r="B241" s="12">
        <v>45474</v>
      </c>
      <c r="C241" s="16" t="s">
        <v>246</v>
      </c>
      <c r="D241" s="16" t="s">
        <v>242</v>
      </c>
      <c r="E241" s="16" t="s">
        <v>239</v>
      </c>
      <c r="F241" s="14">
        <v>0.1353</v>
      </c>
      <c r="G241" s="14">
        <v>0.86470000000000002</v>
      </c>
      <c r="H241" s="13">
        <v>177</v>
      </c>
      <c r="I241" s="13">
        <v>201976459</v>
      </c>
    </row>
    <row r="242" spans="1:9" ht="15" customHeight="1" x14ac:dyDescent="0.35">
      <c r="A242" s="11">
        <v>13</v>
      </c>
      <c r="B242" s="12">
        <v>45474</v>
      </c>
      <c r="C242" s="16" t="s">
        <v>246</v>
      </c>
      <c r="D242" s="16" t="s">
        <v>242</v>
      </c>
      <c r="E242" s="16" t="s">
        <v>240</v>
      </c>
      <c r="F242" s="14">
        <v>0.3478</v>
      </c>
      <c r="G242" s="14">
        <v>0.6522</v>
      </c>
      <c r="H242" s="13">
        <v>61</v>
      </c>
      <c r="I242" s="13">
        <v>156762635</v>
      </c>
    </row>
    <row r="243" spans="1:9" ht="15" customHeight="1" x14ac:dyDescent="0.35">
      <c r="A243" s="11">
        <v>13</v>
      </c>
      <c r="B243" s="12">
        <v>45474</v>
      </c>
      <c r="C243" s="16" t="s">
        <v>246</v>
      </c>
      <c r="D243" s="16" t="s">
        <v>242</v>
      </c>
      <c r="E243" s="16" t="s">
        <v>241</v>
      </c>
      <c r="F243" s="14">
        <v>0.67059999999999997</v>
      </c>
      <c r="G243" s="14">
        <v>0.32940000000000003</v>
      </c>
      <c r="H243" s="13">
        <v>153</v>
      </c>
      <c r="I243" s="13">
        <v>342785522</v>
      </c>
    </row>
    <row r="244" spans="1:9" ht="15" customHeight="1" x14ac:dyDescent="0.35">
      <c r="A244" s="11">
        <v>13</v>
      </c>
      <c r="B244" s="12">
        <v>45474</v>
      </c>
      <c r="C244" s="16" t="s">
        <v>246</v>
      </c>
      <c r="D244" s="16" t="s">
        <v>243</v>
      </c>
      <c r="E244" s="16" t="s">
        <v>238</v>
      </c>
      <c r="F244" s="14">
        <v>1.78E-2</v>
      </c>
      <c r="G244" s="14">
        <v>0.98219999999999996</v>
      </c>
      <c r="H244" s="13">
        <v>167</v>
      </c>
      <c r="I244" s="13">
        <v>392821983</v>
      </c>
    </row>
    <row r="245" spans="1:9" ht="15" customHeight="1" x14ac:dyDescent="0.35">
      <c r="A245" s="11">
        <v>13</v>
      </c>
      <c r="B245" s="12">
        <v>45474</v>
      </c>
      <c r="C245" s="16" t="s">
        <v>246</v>
      </c>
      <c r="D245" s="16" t="s">
        <v>243</v>
      </c>
      <c r="E245" s="16" t="s">
        <v>239</v>
      </c>
      <c r="F245" s="14">
        <v>0.1106</v>
      </c>
      <c r="G245" s="14">
        <v>0.88939999999999997</v>
      </c>
      <c r="H245" s="13">
        <v>22</v>
      </c>
      <c r="I245" s="13">
        <v>47840868</v>
      </c>
    </row>
    <row r="246" spans="1:9" ht="15" customHeight="1" x14ac:dyDescent="0.35">
      <c r="A246" s="11">
        <v>13</v>
      </c>
      <c r="B246" s="12">
        <v>45474</v>
      </c>
      <c r="C246" s="16" t="s">
        <v>246</v>
      </c>
      <c r="D246" s="16" t="s">
        <v>243</v>
      </c>
      <c r="E246" s="16" t="s">
        <v>240</v>
      </c>
      <c r="F246" s="14">
        <v>0.3533</v>
      </c>
      <c r="G246" s="14">
        <v>0.64670000000000005</v>
      </c>
      <c r="H246" s="13">
        <v>173</v>
      </c>
      <c r="I246" s="13">
        <v>187201812</v>
      </c>
    </row>
    <row r="247" spans="1:9" ht="15" customHeight="1" x14ac:dyDescent="0.35">
      <c r="A247" s="11">
        <v>13</v>
      </c>
      <c r="B247" s="12">
        <v>45474</v>
      </c>
      <c r="C247" s="16" t="s">
        <v>246</v>
      </c>
      <c r="D247" s="16" t="s">
        <v>243</v>
      </c>
      <c r="E247" s="16" t="s">
        <v>241</v>
      </c>
      <c r="F247" s="14">
        <v>0.63360000000000005</v>
      </c>
      <c r="G247" s="14">
        <v>0.3664</v>
      </c>
      <c r="H247" s="13">
        <v>94</v>
      </c>
      <c r="I247" s="13">
        <v>215579143</v>
      </c>
    </row>
    <row r="248" spans="1:9" ht="15" customHeight="1" x14ac:dyDescent="0.35">
      <c r="A248" s="11">
        <v>16</v>
      </c>
      <c r="B248" s="12">
        <v>45566</v>
      </c>
      <c r="C248" s="16" t="s">
        <v>236</v>
      </c>
      <c r="D248" s="16" t="s">
        <v>237</v>
      </c>
      <c r="E248" s="16" t="s">
        <v>238</v>
      </c>
      <c r="F248" s="14">
        <v>1.7600000000000001E-2</v>
      </c>
      <c r="G248" s="14">
        <v>0.98240000000000005</v>
      </c>
      <c r="H248" s="13">
        <v>45</v>
      </c>
      <c r="I248" s="13">
        <v>23082913</v>
      </c>
    </row>
    <row r="249" spans="1:9" ht="15" customHeight="1" x14ac:dyDescent="0.35">
      <c r="A249" s="11">
        <v>16</v>
      </c>
      <c r="B249" s="12">
        <v>45566</v>
      </c>
      <c r="C249" s="16" t="s">
        <v>236</v>
      </c>
      <c r="D249" s="16" t="s">
        <v>237</v>
      </c>
      <c r="E249" s="16" t="s">
        <v>239</v>
      </c>
      <c r="F249" s="14">
        <v>0.12180000000000001</v>
      </c>
      <c r="G249" s="14">
        <v>0.87819999999999998</v>
      </c>
      <c r="H249" s="13">
        <v>50</v>
      </c>
      <c r="I249" s="13">
        <v>75863431</v>
      </c>
    </row>
    <row r="250" spans="1:9" ht="15" customHeight="1" x14ac:dyDescent="0.35">
      <c r="A250" s="11">
        <v>16</v>
      </c>
      <c r="B250" s="12">
        <v>45566</v>
      </c>
      <c r="C250" s="16" t="s">
        <v>236</v>
      </c>
      <c r="D250" s="16" t="s">
        <v>237</v>
      </c>
      <c r="E250" s="16" t="s">
        <v>240</v>
      </c>
      <c r="F250" s="14">
        <v>0.3957</v>
      </c>
      <c r="G250" s="14">
        <v>0.60429999999999995</v>
      </c>
      <c r="H250" s="13">
        <v>131</v>
      </c>
      <c r="I250" s="13">
        <v>221864390</v>
      </c>
    </row>
    <row r="251" spans="1:9" ht="15" customHeight="1" x14ac:dyDescent="0.35">
      <c r="A251" s="11">
        <v>16</v>
      </c>
      <c r="B251" s="12">
        <v>45566</v>
      </c>
      <c r="C251" s="16" t="s">
        <v>236</v>
      </c>
      <c r="D251" s="16" t="s">
        <v>237</v>
      </c>
      <c r="E251" s="16" t="s">
        <v>241</v>
      </c>
      <c r="F251" s="14">
        <v>0.65510000000000002</v>
      </c>
      <c r="G251" s="14">
        <v>0.34489999999999998</v>
      </c>
      <c r="H251" s="13">
        <v>83</v>
      </c>
      <c r="I251" s="13">
        <v>108142298</v>
      </c>
    </row>
    <row r="252" spans="1:9" ht="15" customHeight="1" x14ac:dyDescent="0.35">
      <c r="A252" s="11">
        <v>16</v>
      </c>
      <c r="B252" s="12">
        <v>45566</v>
      </c>
      <c r="C252" s="16" t="s">
        <v>236</v>
      </c>
      <c r="D252" s="16" t="s">
        <v>242</v>
      </c>
      <c r="E252" s="16" t="s">
        <v>238</v>
      </c>
      <c r="F252" s="14">
        <v>2.0899999999999998E-2</v>
      </c>
      <c r="G252" s="14">
        <v>0.97909999999999997</v>
      </c>
      <c r="H252" s="13">
        <v>32</v>
      </c>
      <c r="I252" s="13">
        <v>68183898</v>
      </c>
    </row>
    <row r="253" spans="1:9" ht="15" customHeight="1" x14ac:dyDescent="0.35">
      <c r="A253" s="11">
        <v>16</v>
      </c>
      <c r="B253" s="12">
        <v>45566</v>
      </c>
      <c r="C253" s="16" t="s">
        <v>236</v>
      </c>
      <c r="D253" s="16" t="s">
        <v>242</v>
      </c>
      <c r="E253" s="16" t="s">
        <v>239</v>
      </c>
      <c r="F253" s="14">
        <v>0.1104</v>
      </c>
      <c r="G253" s="14">
        <v>0.88959999999999995</v>
      </c>
      <c r="H253" s="13">
        <v>199</v>
      </c>
      <c r="I253" s="13">
        <v>459251045</v>
      </c>
    </row>
    <row r="254" spans="1:9" ht="15" customHeight="1" x14ac:dyDescent="0.35">
      <c r="A254" s="11">
        <v>16</v>
      </c>
      <c r="B254" s="12">
        <v>45566</v>
      </c>
      <c r="C254" s="16" t="s">
        <v>236</v>
      </c>
      <c r="D254" s="16" t="s">
        <v>242</v>
      </c>
      <c r="E254" s="16" t="s">
        <v>240</v>
      </c>
      <c r="F254" s="14">
        <v>0.39589999999999997</v>
      </c>
      <c r="G254" s="14">
        <v>0.60409999999999997</v>
      </c>
      <c r="H254" s="13">
        <v>54</v>
      </c>
      <c r="I254" s="13">
        <v>83414473</v>
      </c>
    </row>
    <row r="255" spans="1:9" ht="15" customHeight="1" x14ac:dyDescent="0.35">
      <c r="A255" s="11">
        <v>16</v>
      </c>
      <c r="B255" s="12">
        <v>45566</v>
      </c>
      <c r="C255" s="16" t="s">
        <v>236</v>
      </c>
      <c r="D255" s="16" t="s">
        <v>242</v>
      </c>
      <c r="E255" s="16" t="s">
        <v>241</v>
      </c>
      <c r="F255" s="14">
        <v>0.79290000000000005</v>
      </c>
      <c r="G255" s="14">
        <v>0.20710000000000001</v>
      </c>
      <c r="H255" s="13">
        <v>19</v>
      </c>
      <c r="I255" s="13">
        <v>56865661</v>
      </c>
    </row>
    <row r="256" spans="1:9" ht="15" customHeight="1" x14ac:dyDescent="0.35">
      <c r="A256" s="11">
        <v>16</v>
      </c>
      <c r="B256" s="12">
        <v>45566</v>
      </c>
      <c r="C256" s="16" t="s">
        <v>236</v>
      </c>
      <c r="D256" s="16" t="s">
        <v>243</v>
      </c>
      <c r="E256" s="16" t="s">
        <v>238</v>
      </c>
      <c r="F256" s="14">
        <v>1.9400000000000001E-2</v>
      </c>
      <c r="G256" s="14">
        <v>0.98060000000000003</v>
      </c>
      <c r="H256" s="13">
        <v>136</v>
      </c>
      <c r="I256" s="13">
        <v>131345955</v>
      </c>
    </row>
    <row r="257" spans="1:9" ht="15" customHeight="1" x14ac:dyDescent="0.35">
      <c r="A257" s="11">
        <v>16</v>
      </c>
      <c r="B257" s="12">
        <v>45566</v>
      </c>
      <c r="C257" s="16" t="s">
        <v>236</v>
      </c>
      <c r="D257" s="16" t="s">
        <v>243</v>
      </c>
      <c r="E257" s="16" t="s">
        <v>239</v>
      </c>
      <c r="F257" s="14">
        <v>0.129</v>
      </c>
      <c r="G257" s="14">
        <v>0.871</v>
      </c>
      <c r="H257" s="13">
        <v>84</v>
      </c>
      <c r="I257" s="13">
        <v>226116065</v>
      </c>
    </row>
    <row r="258" spans="1:9" ht="15" customHeight="1" x14ac:dyDescent="0.35">
      <c r="A258" s="11">
        <v>16</v>
      </c>
      <c r="B258" s="12">
        <v>45566</v>
      </c>
      <c r="C258" s="16" t="s">
        <v>236</v>
      </c>
      <c r="D258" s="16" t="s">
        <v>243</v>
      </c>
      <c r="E258" s="16" t="s">
        <v>240</v>
      </c>
      <c r="F258" s="14">
        <v>0.29849999999999999</v>
      </c>
      <c r="G258" s="14">
        <v>0.70150000000000001</v>
      </c>
      <c r="H258" s="13">
        <v>155</v>
      </c>
      <c r="I258" s="13">
        <v>311078399</v>
      </c>
    </row>
    <row r="259" spans="1:9" ht="15" customHeight="1" x14ac:dyDescent="0.35">
      <c r="A259" s="11">
        <v>16</v>
      </c>
      <c r="B259" s="12">
        <v>45566</v>
      </c>
      <c r="C259" s="16" t="s">
        <v>236</v>
      </c>
      <c r="D259" s="16" t="s">
        <v>243</v>
      </c>
      <c r="E259" s="16" t="s">
        <v>241</v>
      </c>
      <c r="F259" s="14">
        <v>0.8125</v>
      </c>
      <c r="G259" s="14">
        <v>0.1875</v>
      </c>
      <c r="H259" s="13">
        <v>95</v>
      </c>
      <c r="I259" s="13">
        <v>115083392</v>
      </c>
    </row>
    <row r="260" spans="1:9" ht="15" customHeight="1" x14ac:dyDescent="0.35">
      <c r="A260" s="11">
        <v>16</v>
      </c>
      <c r="B260" s="12">
        <v>45566</v>
      </c>
      <c r="C260" s="16" t="s">
        <v>244</v>
      </c>
      <c r="D260" s="16" t="s">
        <v>237</v>
      </c>
      <c r="E260" s="16" t="s">
        <v>238</v>
      </c>
      <c r="F260" s="14">
        <v>2.29E-2</v>
      </c>
      <c r="G260" s="14">
        <v>0.97709999999999997</v>
      </c>
      <c r="H260" s="13">
        <v>149</v>
      </c>
      <c r="I260" s="13">
        <v>269808654</v>
      </c>
    </row>
    <row r="261" spans="1:9" ht="15" customHeight="1" x14ac:dyDescent="0.35">
      <c r="A261" s="11">
        <v>16</v>
      </c>
      <c r="B261" s="12">
        <v>45566</v>
      </c>
      <c r="C261" s="16" t="s">
        <v>244</v>
      </c>
      <c r="D261" s="16" t="s">
        <v>237</v>
      </c>
      <c r="E261" s="16" t="s">
        <v>239</v>
      </c>
      <c r="F261" s="14">
        <v>0.13400000000000001</v>
      </c>
      <c r="G261" s="14">
        <v>0.86599999999999999</v>
      </c>
      <c r="H261" s="13">
        <v>44</v>
      </c>
      <c r="I261" s="13">
        <v>115616571</v>
      </c>
    </row>
    <row r="262" spans="1:9" ht="15" customHeight="1" x14ac:dyDescent="0.35">
      <c r="A262" s="11">
        <v>16</v>
      </c>
      <c r="B262" s="12">
        <v>45566</v>
      </c>
      <c r="C262" s="16" t="s">
        <v>244</v>
      </c>
      <c r="D262" s="16" t="s">
        <v>237</v>
      </c>
      <c r="E262" s="16" t="s">
        <v>240</v>
      </c>
      <c r="F262" s="14">
        <v>0.34660000000000002</v>
      </c>
      <c r="G262" s="14">
        <v>0.65339999999999998</v>
      </c>
      <c r="H262" s="13">
        <v>59</v>
      </c>
      <c r="I262" s="13">
        <v>148800047</v>
      </c>
    </row>
    <row r="263" spans="1:9" ht="15" customHeight="1" x14ac:dyDescent="0.35">
      <c r="A263" s="11">
        <v>16</v>
      </c>
      <c r="B263" s="12">
        <v>45566</v>
      </c>
      <c r="C263" s="16" t="s">
        <v>244</v>
      </c>
      <c r="D263" s="16" t="s">
        <v>237</v>
      </c>
      <c r="E263" s="16" t="s">
        <v>241</v>
      </c>
      <c r="F263" s="14">
        <v>0.68340000000000001</v>
      </c>
      <c r="G263" s="14">
        <v>0.31659999999999999</v>
      </c>
      <c r="H263" s="13">
        <v>197</v>
      </c>
      <c r="I263" s="13">
        <v>324515377</v>
      </c>
    </row>
    <row r="264" spans="1:9" ht="15" customHeight="1" x14ac:dyDescent="0.35">
      <c r="A264" s="11">
        <v>16</v>
      </c>
      <c r="B264" s="12">
        <v>45566</v>
      </c>
      <c r="C264" s="16" t="s">
        <v>244</v>
      </c>
      <c r="D264" s="16" t="s">
        <v>242</v>
      </c>
      <c r="E264" s="16" t="s">
        <v>238</v>
      </c>
      <c r="F264" s="14">
        <v>1.8499999999999999E-2</v>
      </c>
      <c r="G264" s="14">
        <v>0.98150000000000004</v>
      </c>
      <c r="H264" s="13">
        <v>57</v>
      </c>
      <c r="I264" s="13">
        <v>30506998</v>
      </c>
    </row>
    <row r="265" spans="1:9" ht="15" customHeight="1" x14ac:dyDescent="0.35">
      <c r="A265" s="11">
        <v>16</v>
      </c>
      <c r="B265" s="12">
        <v>45566</v>
      </c>
      <c r="C265" s="16" t="s">
        <v>244</v>
      </c>
      <c r="D265" s="16" t="s">
        <v>242</v>
      </c>
      <c r="E265" s="16" t="s">
        <v>239</v>
      </c>
      <c r="F265" s="14">
        <v>0.11409999999999999</v>
      </c>
      <c r="G265" s="14">
        <v>0.88590000000000002</v>
      </c>
      <c r="H265" s="13">
        <v>85</v>
      </c>
      <c r="I265" s="13">
        <v>163153510</v>
      </c>
    </row>
    <row r="266" spans="1:9" ht="15" customHeight="1" x14ac:dyDescent="0.35">
      <c r="A266" s="11">
        <v>16</v>
      </c>
      <c r="B266" s="12">
        <v>45566</v>
      </c>
      <c r="C266" s="16" t="s">
        <v>244</v>
      </c>
      <c r="D266" s="16" t="s">
        <v>242</v>
      </c>
      <c r="E266" s="16" t="s">
        <v>240</v>
      </c>
      <c r="F266" s="14">
        <v>0.377</v>
      </c>
      <c r="G266" s="14">
        <v>0.623</v>
      </c>
      <c r="H266" s="13">
        <v>54</v>
      </c>
      <c r="I266" s="13">
        <v>109478857</v>
      </c>
    </row>
    <row r="267" spans="1:9" ht="15" customHeight="1" x14ac:dyDescent="0.35">
      <c r="A267" s="11">
        <v>16</v>
      </c>
      <c r="B267" s="12">
        <v>45566</v>
      </c>
      <c r="C267" s="16" t="s">
        <v>244</v>
      </c>
      <c r="D267" s="16" t="s">
        <v>242</v>
      </c>
      <c r="E267" s="16" t="s">
        <v>241</v>
      </c>
      <c r="F267" s="14">
        <v>0.75</v>
      </c>
      <c r="G267" s="14">
        <v>0.25</v>
      </c>
      <c r="H267" s="13">
        <v>113</v>
      </c>
      <c r="I267" s="13">
        <v>290124626</v>
      </c>
    </row>
    <row r="268" spans="1:9" ht="15" customHeight="1" x14ac:dyDescent="0.35">
      <c r="A268" s="11">
        <v>16</v>
      </c>
      <c r="B268" s="12">
        <v>45566</v>
      </c>
      <c r="C268" s="16" t="s">
        <v>244</v>
      </c>
      <c r="D268" s="16" t="s">
        <v>243</v>
      </c>
      <c r="E268" s="16" t="s">
        <v>238</v>
      </c>
      <c r="F268" s="14">
        <v>2.01E-2</v>
      </c>
      <c r="G268" s="14">
        <v>0.97989999999999999</v>
      </c>
      <c r="H268" s="13">
        <v>32</v>
      </c>
      <c r="I268" s="13">
        <v>48066660</v>
      </c>
    </row>
    <row r="269" spans="1:9" ht="15" customHeight="1" x14ac:dyDescent="0.35">
      <c r="A269" s="11">
        <v>16</v>
      </c>
      <c r="B269" s="12">
        <v>45566</v>
      </c>
      <c r="C269" s="16" t="s">
        <v>244</v>
      </c>
      <c r="D269" s="16" t="s">
        <v>243</v>
      </c>
      <c r="E269" s="16" t="s">
        <v>239</v>
      </c>
      <c r="F269" s="14">
        <v>0.10539999999999999</v>
      </c>
      <c r="G269" s="14">
        <v>0.89459999999999995</v>
      </c>
      <c r="H269" s="13">
        <v>45</v>
      </c>
      <c r="I269" s="13">
        <v>76213586</v>
      </c>
    </row>
    <row r="270" spans="1:9" ht="15" customHeight="1" x14ac:dyDescent="0.35">
      <c r="A270" s="11">
        <v>16</v>
      </c>
      <c r="B270" s="12">
        <v>45566</v>
      </c>
      <c r="C270" s="16" t="s">
        <v>244</v>
      </c>
      <c r="D270" s="16" t="s">
        <v>243</v>
      </c>
      <c r="E270" s="16" t="s">
        <v>240</v>
      </c>
      <c r="F270" s="14">
        <v>0.39579999999999999</v>
      </c>
      <c r="G270" s="14">
        <v>0.60419999999999996</v>
      </c>
      <c r="H270" s="13">
        <v>11</v>
      </c>
      <c r="I270" s="13">
        <v>12671595</v>
      </c>
    </row>
    <row r="271" spans="1:9" ht="15" customHeight="1" x14ac:dyDescent="0.35">
      <c r="A271" s="11">
        <v>16</v>
      </c>
      <c r="B271" s="12">
        <v>45566</v>
      </c>
      <c r="C271" s="16" t="s">
        <v>244</v>
      </c>
      <c r="D271" s="16" t="s">
        <v>243</v>
      </c>
      <c r="E271" s="16" t="s">
        <v>241</v>
      </c>
      <c r="F271" s="14">
        <v>0.66290000000000004</v>
      </c>
      <c r="G271" s="14">
        <v>0.33710000000000001</v>
      </c>
      <c r="H271" s="13">
        <v>78</v>
      </c>
      <c r="I271" s="13">
        <v>225036790</v>
      </c>
    </row>
    <row r="272" spans="1:9" ht="15" customHeight="1" x14ac:dyDescent="0.35">
      <c r="A272" s="11">
        <v>16</v>
      </c>
      <c r="B272" s="12">
        <v>45566</v>
      </c>
      <c r="C272" s="16" t="s">
        <v>245</v>
      </c>
      <c r="D272" s="16" t="s">
        <v>237</v>
      </c>
      <c r="E272" s="16" t="s">
        <v>238</v>
      </c>
      <c r="F272" s="14">
        <v>1.8800000000000001E-2</v>
      </c>
      <c r="G272" s="14">
        <v>0.98119999999999996</v>
      </c>
      <c r="H272" s="13">
        <v>195</v>
      </c>
      <c r="I272" s="13">
        <v>376777707</v>
      </c>
    </row>
    <row r="273" spans="1:9" ht="15" customHeight="1" x14ac:dyDescent="0.35">
      <c r="A273" s="11">
        <v>16</v>
      </c>
      <c r="B273" s="12">
        <v>45566</v>
      </c>
      <c r="C273" s="16" t="s">
        <v>245</v>
      </c>
      <c r="D273" s="16" t="s">
        <v>237</v>
      </c>
      <c r="E273" s="16" t="s">
        <v>239</v>
      </c>
      <c r="F273" s="14">
        <v>0.1114</v>
      </c>
      <c r="G273" s="14">
        <v>0.88859999999999995</v>
      </c>
      <c r="H273" s="13">
        <v>102</v>
      </c>
      <c r="I273" s="13">
        <v>227655991</v>
      </c>
    </row>
    <row r="274" spans="1:9" ht="15" customHeight="1" x14ac:dyDescent="0.35">
      <c r="A274" s="11">
        <v>16</v>
      </c>
      <c r="B274" s="12">
        <v>45566</v>
      </c>
      <c r="C274" s="16" t="s">
        <v>245</v>
      </c>
      <c r="D274" s="16" t="s">
        <v>237</v>
      </c>
      <c r="E274" s="16" t="s">
        <v>240</v>
      </c>
      <c r="F274" s="14">
        <v>0.30399999999999999</v>
      </c>
      <c r="G274" s="14">
        <v>0.69599999999999995</v>
      </c>
      <c r="H274" s="13">
        <v>40</v>
      </c>
      <c r="I274" s="13">
        <v>66539499</v>
      </c>
    </row>
    <row r="275" spans="1:9" ht="15" customHeight="1" x14ac:dyDescent="0.35">
      <c r="A275" s="11">
        <v>16</v>
      </c>
      <c r="B275" s="12">
        <v>45566</v>
      </c>
      <c r="C275" s="16" t="s">
        <v>245</v>
      </c>
      <c r="D275" s="16" t="s">
        <v>237</v>
      </c>
      <c r="E275" s="16" t="s">
        <v>241</v>
      </c>
      <c r="F275" s="14">
        <v>0.64649999999999996</v>
      </c>
      <c r="G275" s="14">
        <v>0.35349999999999998</v>
      </c>
      <c r="H275" s="13">
        <v>185</v>
      </c>
      <c r="I275" s="13">
        <v>324915718</v>
      </c>
    </row>
    <row r="276" spans="1:9" ht="15" customHeight="1" x14ac:dyDescent="0.35">
      <c r="A276" s="11">
        <v>16</v>
      </c>
      <c r="B276" s="12">
        <v>45566</v>
      </c>
      <c r="C276" s="16" t="s">
        <v>245</v>
      </c>
      <c r="D276" s="16" t="s">
        <v>242</v>
      </c>
      <c r="E276" s="16" t="s">
        <v>238</v>
      </c>
      <c r="F276" s="14">
        <v>2.24E-2</v>
      </c>
      <c r="G276" s="14">
        <v>0.97760000000000002</v>
      </c>
      <c r="H276" s="13">
        <v>190</v>
      </c>
      <c r="I276" s="13">
        <v>460674498</v>
      </c>
    </row>
    <row r="277" spans="1:9" ht="15" customHeight="1" x14ac:dyDescent="0.35">
      <c r="A277" s="11">
        <v>16</v>
      </c>
      <c r="B277" s="12">
        <v>45566</v>
      </c>
      <c r="C277" s="16" t="s">
        <v>245</v>
      </c>
      <c r="D277" s="16" t="s">
        <v>242</v>
      </c>
      <c r="E277" s="16" t="s">
        <v>239</v>
      </c>
      <c r="F277" s="14">
        <v>0.12690000000000001</v>
      </c>
      <c r="G277" s="14">
        <v>0.87309999999999999</v>
      </c>
      <c r="H277" s="13">
        <v>173</v>
      </c>
      <c r="I277" s="13">
        <v>482726392</v>
      </c>
    </row>
    <row r="278" spans="1:9" ht="15" customHeight="1" x14ac:dyDescent="0.35">
      <c r="A278" s="11">
        <v>16</v>
      </c>
      <c r="B278" s="12">
        <v>45566</v>
      </c>
      <c r="C278" s="16" t="s">
        <v>245</v>
      </c>
      <c r="D278" s="16" t="s">
        <v>242</v>
      </c>
      <c r="E278" s="16" t="s">
        <v>240</v>
      </c>
      <c r="F278" s="14">
        <v>0.32850000000000001</v>
      </c>
      <c r="G278" s="14">
        <v>0.67149999999999999</v>
      </c>
      <c r="H278" s="13">
        <v>167</v>
      </c>
      <c r="I278" s="13">
        <v>175704558</v>
      </c>
    </row>
    <row r="279" spans="1:9" ht="15" customHeight="1" x14ac:dyDescent="0.35">
      <c r="A279" s="11">
        <v>16</v>
      </c>
      <c r="B279" s="12">
        <v>45566</v>
      </c>
      <c r="C279" s="16" t="s">
        <v>245</v>
      </c>
      <c r="D279" s="16" t="s">
        <v>242</v>
      </c>
      <c r="E279" s="16" t="s">
        <v>241</v>
      </c>
      <c r="F279" s="14">
        <v>0.81879999999999997</v>
      </c>
      <c r="G279" s="14">
        <v>0.1812</v>
      </c>
      <c r="H279" s="13">
        <v>132</v>
      </c>
      <c r="I279" s="13">
        <v>116551236</v>
      </c>
    </row>
    <row r="280" spans="1:9" ht="15" customHeight="1" x14ac:dyDescent="0.35">
      <c r="A280" s="11">
        <v>16</v>
      </c>
      <c r="B280" s="12">
        <v>45566</v>
      </c>
      <c r="C280" s="16" t="s">
        <v>245</v>
      </c>
      <c r="D280" s="16" t="s">
        <v>243</v>
      </c>
      <c r="E280" s="16" t="s">
        <v>238</v>
      </c>
      <c r="F280" s="14">
        <v>2.1499999999999998E-2</v>
      </c>
      <c r="G280" s="14">
        <v>0.97850000000000004</v>
      </c>
      <c r="H280" s="13">
        <v>165</v>
      </c>
      <c r="I280" s="13">
        <v>236620247</v>
      </c>
    </row>
    <row r="281" spans="1:9" ht="15" customHeight="1" x14ac:dyDescent="0.35">
      <c r="A281" s="11">
        <v>16</v>
      </c>
      <c r="B281" s="12">
        <v>45566</v>
      </c>
      <c r="C281" s="16" t="s">
        <v>245</v>
      </c>
      <c r="D281" s="16" t="s">
        <v>243</v>
      </c>
      <c r="E281" s="16" t="s">
        <v>239</v>
      </c>
      <c r="F281" s="14">
        <v>0.1273</v>
      </c>
      <c r="G281" s="14">
        <v>0.87270000000000003</v>
      </c>
      <c r="H281" s="13">
        <v>130</v>
      </c>
      <c r="I281" s="13">
        <v>311138920</v>
      </c>
    </row>
    <row r="282" spans="1:9" ht="15" customHeight="1" x14ac:dyDescent="0.35">
      <c r="A282" s="11">
        <v>16</v>
      </c>
      <c r="B282" s="12">
        <v>45566</v>
      </c>
      <c r="C282" s="16" t="s">
        <v>245</v>
      </c>
      <c r="D282" s="16" t="s">
        <v>243</v>
      </c>
      <c r="E282" s="16" t="s">
        <v>240</v>
      </c>
      <c r="F282" s="14">
        <v>0.38169999999999998</v>
      </c>
      <c r="G282" s="14">
        <v>0.61829999999999996</v>
      </c>
      <c r="H282" s="13">
        <v>65</v>
      </c>
      <c r="I282" s="13">
        <v>156302188</v>
      </c>
    </row>
    <row r="283" spans="1:9" ht="15" customHeight="1" x14ac:dyDescent="0.35">
      <c r="A283" s="11">
        <v>16</v>
      </c>
      <c r="B283" s="12">
        <v>45566</v>
      </c>
      <c r="C283" s="16" t="s">
        <v>245</v>
      </c>
      <c r="D283" s="16" t="s">
        <v>243</v>
      </c>
      <c r="E283" s="16" t="s">
        <v>241</v>
      </c>
      <c r="F283" s="14">
        <v>0.75900000000000001</v>
      </c>
      <c r="G283" s="14">
        <v>0.24099999999999999</v>
      </c>
      <c r="H283" s="13">
        <v>162</v>
      </c>
      <c r="I283" s="13">
        <v>434619699</v>
      </c>
    </row>
    <row r="284" spans="1:9" ht="15" customHeight="1" x14ac:dyDescent="0.35">
      <c r="A284" s="11">
        <v>16</v>
      </c>
      <c r="B284" s="12">
        <v>45566</v>
      </c>
      <c r="C284" s="16" t="s">
        <v>246</v>
      </c>
      <c r="D284" s="16" t="s">
        <v>237</v>
      </c>
      <c r="E284" s="16" t="s">
        <v>238</v>
      </c>
      <c r="F284" s="14">
        <v>1.7500000000000002E-2</v>
      </c>
      <c r="G284" s="14">
        <v>0.98250000000000004</v>
      </c>
      <c r="H284" s="13">
        <v>124</v>
      </c>
      <c r="I284" s="13">
        <v>225733668</v>
      </c>
    </row>
    <row r="285" spans="1:9" ht="15" customHeight="1" x14ac:dyDescent="0.35">
      <c r="A285" s="11">
        <v>16</v>
      </c>
      <c r="B285" s="12">
        <v>45566</v>
      </c>
      <c r="C285" s="16" t="s">
        <v>246</v>
      </c>
      <c r="D285" s="16" t="s">
        <v>237</v>
      </c>
      <c r="E285" s="16" t="s">
        <v>239</v>
      </c>
      <c r="F285" s="14">
        <v>0.115</v>
      </c>
      <c r="G285" s="14">
        <v>0.88500000000000001</v>
      </c>
      <c r="H285" s="13">
        <v>154</v>
      </c>
      <c r="I285" s="13">
        <v>120200385</v>
      </c>
    </row>
    <row r="286" spans="1:9" ht="15" customHeight="1" x14ac:dyDescent="0.35">
      <c r="A286" s="11">
        <v>16</v>
      </c>
      <c r="B286" s="12">
        <v>45566</v>
      </c>
      <c r="C286" s="16" t="s">
        <v>246</v>
      </c>
      <c r="D286" s="16" t="s">
        <v>237</v>
      </c>
      <c r="E286" s="16" t="s">
        <v>240</v>
      </c>
      <c r="F286" s="14">
        <v>0.38450000000000001</v>
      </c>
      <c r="G286" s="14">
        <v>0.61550000000000005</v>
      </c>
      <c r="H286" s="13">
        <v>139</v>
      </c>
      <c r="I286" s="13">
        <v>139749481</v>
      </c>
    </row>
    <row r="287" spans="1:9" ht="15" customHeight="1" x14ac:dyDescent="0.35">
      <c r="A287" s="11">
        <v>16</v>
      </c>
      <c r="B287" s="12">
        <v>45566</v>
      </c>
      <c r="C287" s="16" t="s">
        <v>246</v>
      </c>
      <c r="D287" s="16" t="s">
        <v>237</v>
      </c>
      <c r="E287" s="16" t="s">
        <v>241</v>
      </c>
      <c r="F287" s="14">
        <v>0.72789999999999999</v>
      </c>
      <c r="G287" s="14">
        <v>0.27210000000000001</v>
      </c>
      <c r="H287" s="13">
        <v>52</v>
      </c>
      <c r="I287" s="13">
        <v>68655293</v>
      </c>
    </row>
    <row r="288" spans="1:9" ht="15" customHeight="1" x14ac:dyDescent="0.35">
      <c r="A288" s="11">
        <v>16</v>
      </c>
      <c r="B288" s="12">
        <v>45566</v>
      </c>
      <c r="C288" s="16" t="s">
        <v>246</v>
      </c>
      <c r="D288" s="16" t="s">
        <v>242</v>
      </c>
      <c r="E288" s="16" t="s">
        <v>238</v>
      </c>
      <c r="F288" s="14">
        <v>2.01E-2</v>
      </c>
      <c r="G288" s="14">
        <v>0.97989999999999999</v>
      </c>
      <c r="H288" s="13">
        <v>39</v>
      </c>
      <c r="I288" s="13">
        <v>85828786</v>
      </c>
    </row>
    <row r="289" spans="1:9" ht="15" customHeight="1" x14ac:dyDescent="0.35">
      <c r="A289" s="11">
        <v>16</v>
      </c>
      <c r="B289" s="12">
        <v>45566</v>
      </c>
      <c r="C289" s="16" t="s">
        <v>246</v>
      </c>
      <c r="D289" s="16" t="s">
        <v>242</v>
      </c>
      <c r="E289" s="16" t="s">
        <v>239</v>
      </c>
      <c r="F289" s="14">
        <v>0.1278</v>
      </c>
      <c r="G289" s="14">
        <v>0.87219999999999998</v>
      </c>
      <c r="H289" s="13">
        <v>135</v>
      </c>
      <c r="I289" s="13">
        <v>98192805</v>
      </c>
    </row>
    <row r="290" spans="1:9" ht="15" customHeight="1" x14ac:dyDescent="0.35">
      <c r="A290" s="11">
        <v>16</v>
      </c>
      <c r="B290" s="12">
        <v>45566</v>
      </c>
      <c r="C290" s="16" t="s">
        <v>246</v>
      </c>
      <c r="D290" s="16" t="s">
        <v>242</v>
      </c>
      <c r="E290" s="16" t="s">
        <v>240</v>
      </c>
      <c r="F290" s="14">
        <v>0.35110000000000002</v>
      </c>
      <c r="G290" s="14">
        <v>0.64890000000000003</v>
      </c>
      <c r="H290" s="13">
        <v>24</v>
      </c>
      <c r="I290" s="13">
        <v>39205938</v>
      </c>
    </row>
    <row r="291" spans="1:9" ht="15" customHeight="1" x14ac:dyDescent="0.35">
      <c r="A291" s="11">
        <v>16</v>
      </c>
      <c r="B291" s="12">
        <v>45566</v>
      </c>
      <c r="C291" s="16" t="s">
        <v>246</v>
      </c>
      <c r="D291" s="16" t="s">
        <v>242</v>
      </c>
      <c r="E291" s="16" t="s">
        <v>241</v>
      </c>
      <c r="F291" s="14">
        <v>0.72289999999999999</v>
      </c>
      <c r="G291" s="14">
        <v>0.27710000000000001</v>
      </c>
      <c r="H291" s="13">
        <v>126</v>
      </c>
      <c r="I291" s="13">
        <v>240632023</v>
      </c>
    </row>
    <row r="292" spans="1:9" ht="15" customHeight="1" x14ac:dyDescent="0.35">
      <c r="A292" s="11">
        <v>16</v>
      </c>
      <c r="B292" s="12">
        <v>45566</v>
      </c>
      <c r="C292" s="16" t="s">
        <v>246</v>
      </c>
      <c r="D292" s="16" t="s">
        <v>243</v>
      </c>
      <c r="E292" s="16" t="s">
        <v>238</v>
      </c>
      <c r="F292" s="14">
        <v>2.0400000000000001E-2</v>
      </c>
      <c r="G292" s="14">
        <v>0.97960000000000003</v>
      </c>
      <c r="H292" s="13">
        <v>182</v>
      </c>
      <c r="I292" s="13">
        <v>458146485</v>
      </c>
    </row>
    <row r="293" spans="1:9" ht="15" customHeight="1" x14ac:dyDescent="0.35">
      <c r="A293" s="11">
        <v>16</v>
      </c>
      <c r="B293" s="12">
        <v>45566</v>
      </c>
      <c r="C293" s="16" t="s">
        <v>246</v>
      </c>
      <c r="D293" s="16" t="s">
        <v>243</v>
      </c>
      <c r="E293" s="16" t="s">
        <v>239</v>
      </c>
      <c r="F293" s="14">
        <v>0.128</v>
      </c>
      <c r="G293" s="14">
        <v>0.872</v>
      </c>
      <c r="H293" s="13">
        <v>111</v>
      </c>
      <c r="I293" s="13">
        <v>126111878</v>
      </c>
    </row>
    <row r="294" spans="1:9" ht="15" customHeight="1" x14ac:dyDescent="0.35">
      <c r="A294" s="11">
        <v>16</v>
      </c>
      <c r="B294" s="12">
        <v>45566</v>
      </c>
      <c r="C294" s="16" t="s">
        <v>246</v>
      </c>
      <c r="D294" s="16" t="s">
        <v>243</v>
      </c>
      <c r="E294" s="16" t="s">
        <v>240</v>
      </c>
      <c r="F294" s="14">
        <v>0.29780000000000001</v>
      </c>
      <c r="G294" s="14">
        <v>0.70220000000000005</v>
      </c>
      <c r="H294" s="13">
        <v>65</v>
      </c>
      <c r="I294" s="13">
        <v>126475581</v>
      </c>
    </row>
    <row r="295" spans="1:9" ht="15" customHeight="1" x14ac:dyDescent="0.35">
      <c r="A295" s="11">
        <v>16</v>
      </c>
      <c r="B295" s="12">
        <v>45566</v>
      </c>
      <c r="C295" s="16" t="s">
        <v>246</v>
      </c>
      <c r="D295" s="16" t="s">
        <v>243</v>
      </c>
      <c r="E295" s="16" t="s">
        <v>241</v>
      </c>
      <c r="F295" s="14">
        <v>0.62180000000000002</v>
      </c>
      <c r="G295" s="14">
        <v>0.37819999999999998</v>
      </c>
      <c r="H295" s="13">
        <v>98</v>
      </c>
      <c r="I295" s="13">
        <v>220594295</v>
      </c>
    </row>
    <row r="296" spans="1:9" ht="15" customHeight="1" x14ac:dyDescent="0.35">
      <c r="A296" s="11">
        <v>19</v>
      </c>
      <c r="B296" s="12">
        <v>45658</v>
      </c>
      <c r="C296" s="16" t="s">
        <v>236</v>
      </c>
      <c r="D296" s="16" t="s">
        <v>237</v>
      </c>
      <c r="E296" s="16" t="s">
        <v>238</v>
      </c>
      <c r="F296" s="14">
        <v>2.0199999999999999E-2</v>
      </c>
      <c r="G296" s="14">
        <v>0.9798</v>
      </c>
      <c r="H296" s="13">
        <v>25</v>
      </c>
      <c r="I296" s="13">
        <v>70911425</v>
      </c>
    </row>
    <row r="297" spans="1:9" ht="15" customHeight="1" x14ac:dyDescent="0.35">
      <c r="A297" s="11">
        <v>19</v>
      </c>
      <c r="B297" s="12">
        <v>45658</v>
      </c>
      <c r="C297" s="16" t="s">
        <v>236</v>
      </c>
      <c r="D297" s="16" t="s">
        <v>237</v>
      </c>
      <c r="E297" s="16" t="s">
        <v>239</v>
      </c>
      <c r="F297" s="14">
        <v>0.1045</v>
      </c>
      <c r="G297" s="14">
        <v>0.89549999999999996</v>
      </c>
      <c r="H297" s="13">
        <v>130</v>
      </c>
      <c r="I297" s="13">
        <v>75313833</v>
      </c>
    </row>
    <row r="298" spans="1:9" ht="15" customHeight="1" x14ac:dyDescent="0.35">
      <c r="A298" s="11">
        <v>19</v>
      </c>
      <c r="B298" s="12">
        <v>45658</v>
      </c>
      <c r="C298" s="16" t="s">
        <v>236</v>
      </c>
      <c r="D298" s="16" t="s">
        <v>237</v>
      </c>
      <c r="E298" s="16" t="s">
        <v>240</v>
      </c>
      <c r="F298" s="14">
        <v>0.34039999999999998</v>
      </c>
      <c r="G298" s="14">
        <v>0.65959999999999996</v>
      </c>
      <c r="H298" s="13">
        <v>44</v>
      </c>
      <c r="I298" s="13">
        <v>106241045</v>
      </c>
    </row>
    <row r="299" spans="1:9" ht="15" customHeight="1" x14ac:dyDescent="0.35">
      <c r="A299" s="11">
        <v>19</v>
      </c>
      <c r="B299" s="12">
        <v>45658</v>
      </c>
      <c r="C299" s="16" t="s">
        <v>236</v>
      </c>
      <c r="D299" s="16" t="s">
        <v>237</v>
      </c>
      <c r="E299" s="16" t="s">
        <v>241</v>
      </c>
      <c r="F299" s="14">
        <v>0.82330000000000003</v>
      </c>
      <c r="G299" s="14">
        <v>0.1767</v>
      </c>
      <c r="H299" s="13">
        <v>175</v>
      </c>
      <c r="I299" s="13">
        <v>509154873</v>
      </c>
    </row>
    <row r="300" spans="1:9" ht="15" customHeight="1" x14ac:dyDescent="0.35">
      <c r="A300" s="11">
        <v>19</v>
      </c>
      <c r="B300" s="12">
        <v>45658</v>
      </c>
      <c r="C300" s="16" t="s">
        <v>236</v>
      </c>
      <c r="D300" s="16" t="s">
        <v>242</v>
      </c>
      <c r="E300" s="16" t="s">
        <v>238</v>
      </c>
      <c r="F300" s="14">
        <v>1.9199999999999998E-2</v>
      </c>
      <c r="G300" s="14">
        <v>0.98080000000000001</v>
      </c>
      <c r="H300" s="13">
        <v>107</v>
      </c>
      <c r="I300" s="13">
        <v>173483683</v>
      </c>
    </row>
    <row r="301" spans="1:9" ht="15" customHeight="1" x14ac:dyDescent="0.35">
      <c r="A301" s="11">
        <v>19</v>
      </c>
      <c r="B301" s="12">
        <v>45658</v>
      </c>
      <c r="C301" s="16" t="s">
        <v>236</v>
      </c>
      <c r="D301" s="16" t="s">
        <v>242</v>
      </c>
      <c r="E301" s="16" t="s">
        <v>239</v>
      </c>
      <c r="F301" s="14">
        <v>0.13500000000000001</v>
      </c>
      <c r="G301" s="14">
        <v>0.86499999999999999</v>
      </c>
      <c r="H301" s="13">
        <v>106</v>
      </c>
      <c r="I301" s="13">
        <v>152546066</v>
      </c>
    </row>
    <row r="302" spans="1:9" ht="15" customHeight="1" x14ac:dyDescent="0.35">
      <c r="A302" s="11">
        <v>19</v>
      </c>
      <c r="B302" s="12">
        <v>45658</v>
      </c>
      <c r="C302" s="16" t="s">
        <v>236</v>
      </c>
      <c r="D302" s="16" t="s">
        <v>242</v>
      </c>
      <c r="E302" s="16" t="s">
        <v>240</v>
      </c>
      <c r="F302" s="14">
        <v>0.36919999999999997</v>
      </c>
      <c r="G302" s="14">
        <v>0.63080000000000003</v>
      </c>
      <c r="H302" s="13">
        <v>179</v>
      </c>
      <c r="I302" s="13">
        <v>480862790</v>
      </c>
    </row>
    <row r="303" spans="1:9" ht="15" customHeight="1" x14ac:dyDescent="0.35">
      <c r="A303" s="11">
        <v>19</v>
      </c>
      <c r="B303" s="12">
        <v>45658</v>
      </c>
      <c r="C303" s="16" t="s">
        <v>236</v>
      </c>
      <c r="D303" s="16" t="s">
        <v>242</v>
      </c>
      <c r="E303" s="16" t="s">
        <v>241</v>
      </c>
      <c r="F303" s="14">
        <v>0.64070000000000005</v>
      </c>
      <c r="G303" s="14">
        <v>0.35930000000000001</v>
      </c>
      <c r="H303" s="13">
        <v>99</v>
      </c>
      <c r="I303" s="13">
        <v>78861709</v>
      </c>
    </row>
    <row r="304" spans="1:9" ht="15" customHeight="1" x14ac:dyDescent="0.35">
      <c r="A304" s="11">
        <v>19</v>
      </c>
      <c r="B304" s="12">
        <v>45658</v>
      </c>
      <c r="C304" s="16" t="s">
        <v>236</v>
      </c>
      <c r="D304" s="16" t="s">
        <v>243</v>
      </c>
      <c r="E304" s="16" t="s">
        <v>238</v>
      </c>
      <c r="F304" s="14">
        <v>2.3E-2</v>
      </c>
      <c r="G304" s="14">
        <v>0.97699999999999998</v>
      </c>
      <c r="H304" s="13">
        <v>110</v>
      </c>
      <c r="I304" s="13">
        <v>200431698</v>
      </c>
    </row>
    <row r="305" spans="1:9" ht="15" customHeight="1" x14ac:dyDescent="0.35">
      <c r="A305" s="11">
        <v>19</v>
      </c>
      <c r="B305" s="12">
        <v>45658</v>
      </c>
      <c r="C305" s="16" t="s">
        <v>236</v>
      </c>
      <c r="D305" s="16" t="s">
        <v>243</v>
      </c>
      <c r="E305" s="16" t="s">
        <v>239</v>
      </c>
      <c r="F305" s="14">
        <v>0.12820000000000001</v>
      </c>
      <c r="G305" s="14">
        <v>0.87180000000000002</v>
      </c>
      <c r="H305" s="13">
        <v>67</v>
      </c>
      <c r="I305" s="13">
        <v>173332620</v>
      </c>
    </row>
    <row r="306" spans="1:9" ht="15" customHeight="1" x14ac:dyDescent="0.35">
      <c r="A306" s="11">
        <v>19</v>
      </c>
      <c r="B306" s="12">
        <v>45658</v>
      </c>
      <c r="C306" s="16" t="s">
        <v>236</v>
      </c>
      <c r="D306" s="16" t="s">
        <v>243</v>
      </c>
      <c r="E306" s="16" t="s">
        <v>240</v>
      </c>
      <c r="F306" s="14">
        <v>0.37690000000000001</v>
      </c>
      <c r="G306" s="14">
        <v>0.62309999999999999</v>
      </c>
      <c r="H306" s="13">
        <v>86</v>
      </c>
      <c r="I306" s="13">
        <v>142545839</v>
      </c>
    </row>
    <row r="307" spans="1:9" ht="15" customHeight="1" x14ac:dyDescent="0.35">
      <c r="A307" s="11">
        <v>19</v>
      </c>
      <c r="B307" s="12">
        <v>45658</v>
      </c>
      <c r="C307" s="16" t="s">
        <v>236</v>
      </c>
      <c r="D307" s="16" t="s">
        <v>243</v>
      </c>
      <c r="E307" s="16" t="s">
        <v>241</v>
      </c>
      <c r="F307" s="14">
        <v>0.76729999999999998</v>
      </c>
      <c r="G307" s="14">
        <v>0.23269999999999999</v>
      </c>
      <c r="H307" s="13">
        <v>118</v>
      </c>
      <c r="I307" s="13">
        <v>215920415</v>
      </c>
    </row>
    <row r="308" spans="1:9" ht="15" customHeight="1" x14ac:dyDescent="0.35">
      <c r="A308" s="11">
        <v>19</v>
      </c>
      <c r="B308" s="12">
        <v>45658</v>
      </c>
      <c r="C308" s="16" t="s">
        <v>244</v>
      </c>
      <c r="D308" s="16" t="s">
        <v>237</v>
      </c>
      <c r="E308" s="16" t="s">
        <v>238</v>
      </c>
      <c r="F308" s="14">
        <v>2.1899999999999999E-2</v>
      </c>
      <c r="G308" s="14">
        <v>0.97809999999999997</v>
      </c>
      <c r="H308" s="13">
        <v>73</v>
      </c>
      <c r="I308" s="13">
        <v>120564113</v>
      </c>
    </row>
    <row r="309" spans="1:9" ht="15" customHeight="1" x14ac:dyDescent="0.35">
      <c r="A309" s="11">
        <v>19</v>
      </c>
      <c r="B309" s="12">
        <v>45658</v>
      </c>
      <c r="C309" s="16" t="s">
        <v>244</v>
      </c>
      <c r="D309" s="16" t="s">
        <v>237</v>
      </c>
      <c r="E309" s="16" t="s">
        <v>239</v>
      </c>
      <c r="F309" s="14">
        <v>0.1076</v>
      </c>
      <c r="G309" s="14">
        <v>0.89239999999999997</v>
      </c>
      <c r="H309" s="13">
        <v>58</v>
      </c>
      <c r="I309" s="13">
        <v>164924502</v>
      </c>
    </row>
    <row r="310" spans="1:9" ht="15" customHeight="1" x14ac:dyDescent="0.35">
      <c r="A310" s="11">
        <v>19</v>
      </c>
      <c r="B310" s="12">
        <v>45658</v>
      </c>
      <c r="C310" s="16" t="s">
        <v>244</v>
      </c>
      <c r="D310" s="16" t="s">
        <v>237</v>
      </c>
      <c r="E310" s="16" t="s">
        <v>240</v>
      </c>
      <c r="F310" s="14">
        <v>0.37359999999999999</v>
      </c>
      <c r="G310" s="14">
        <v>0.62639999999999996</v>
      </c>
      <c r="H310" s="13">
        <v>38</v>
      </c>
      <c r="I310" s="13">
        <v>22060645</v>
      </c>
    </row>
    <row r="311" spans="1:9" ht="15" customHeight="1" x14ac:dyDescent="0.35">
      <c r="A311" s="11">
        <v>19</v>
      </c>
      <c r="B311" s="12">
        <v>45658</v>
      </c>
      <c r="C311" s="16" t="s">
        <v>244</v>
      </c>
      <c r="D311" s="16" t="s">
        <v>237</v>
      </c>
      <c r="E311" s="16" t="s">
        <v>241</v>
      </c>
      <c r="F311" s="14">
        <v>0.75460000000000005</v>
      </c>
      <c r="G311" s="14">
        <v>0.24540000000000001</v>
      </c>
      <c r="H311" s="13">
        <v>167</v>
      </c>
      <c r="I311" s="13">
        <v>403327323</v>
      </c>
    </row>
    <row r="312" spans="1:9" ht="15" customHeight="1" x14ac:dyDescent="0.35">
      <c r="A312" s="11">
        <v>19</v>
      </c>
      <c r="B312" s="12">
        <v>45658</v>
      </c>
      <c r="C312" s="16" t="s">
        <v>244</v>
      </c>
      <c r="D312" s="16" t="s">
        <v>242</v>
      </c>
      <c r="E312" s="16" t="s">
        <v>238</v>
      </c>
      <c r="F312" s="14">
        <v>2.23E-2</v>
      </c>
      <c r="G312" s="14">
        <v>0.97770000000000001</v>
      </c>
      <c r="H312" s="13">
        <v>14</v>
      </c>
      <c r="I312" s="13">
        <v>15423320</v>
      </c>
    </row>
    <row r="313" spans="1:9" ht="15" customHeight="1" x14ac:dyDescent="0.35">
      <c r="A313" s="11">
        <v>19</v>
      </c>
      <c r="B313" s="12">
        <v>45658</v>
      </c>
      <c r="C313" s="16" t="s">
        <v>244</v>
      </c>
      <c r="D313" s="16" t="s">
        <v>242</v>
      </c>
      <c r="E313" s="16" t="s">
        <v>239</v>
      </c>
      <c r="F313" s="14">
        <v>0.10440000000000001</v>
      </c>
      <c r="G313" s="14">
        <v>0.89559999999999995</v>
      </c>
      <c r="H313" s="13">
        <v>162</v>
      </c>
      <c r="I313" s="13">
        <v>94598392</v>
      </c>
    </row>
    <row r="314" spans="1:9" ht="15" customHeight="1" x14ac:dyDescent="0.35">
      <c r="A314" s="11">
        <v>19</v>
      </c>
      <c r="B314" s="12">
        <v>45658</v>
      </c>
      <c r="C314" s="16" t="s">
        <v>244</v>
      </c>
      <c r="D314" s="16" t="s">
        <v>242</v>
      </c>
      <c r="E314" s="16" t="s">
        <v>240</v>
      </c>
      <c r="F314" s="14">
        <v>0.36030000000000001</v>
      </c>
      <c r="G314" s="14">
        <v>0.63970000000000005</v>
      </c>
      <c r="H314" s="13">
        <v>190</v>
      </c>
      <c r="I314" s="13">
        <v>509300898</v>
      </c>
    </row>
    <row r="315" spans="1:9" ht="15" customHeight="1" x14ac:dyDescent="0.35">
      <c r="A315" s="11">
        <v>19</v>
      </c>
      <c r="B315" s="12">
        <v>45658</v>
      </c>
      <c r="C315" s="16" t="s">
        <v>244</v>
      </c>
      <c r="D315" s="16" t="s">
        <v>242</v>
      </c>
      <c r="E315" s="16" t="s">
        <v>241</v>
      </c>
      <c r="F315" s="14">
        <v>0.66490000000000005</v>
      </c>
      <c r="G315" s="14">
        <v>0.33510000000000001</v>
      </c>
      <c r="H315" s="13">
        <v>21</v>
      </c>
      <c r="I315" s="13">
        <v>31618931</v>
      </c>
    </row>
    <row r="316" spans="1:9" ht="15" customHeight="1" x14ac:dyDescent="0.35">
      <c r="A316" s="11">
        <v>19</v>
      </c>
      <c r="B316" s="12">
        <v>45658</v>
      </c>
      <c r="C316" s="16" t="s">
        <v>244</v>
      </c>
      <c r="D316" s="16" t="s">
        <v>243</v>
      </c>
      <c r="E316" s="16" t="s">
        <v>238</v>
      </c>
      <c r="F316" s="14">
        <v>1.84E-2</v>
      </c>
      <c r="G316" s="14">
        <v>0.98160000000000003</v>
      </c>
      <c r="H316" s="13">
        <v>65</v>
      </c>
      <c r="I316" s="13">
        <v>155087678</v>
      </c>
    </row>
    <row r="317" spans="1:9" ht="15" customHeight="1" x14ac:dyDescent="0.35">
      <c r="A317" s="11">
        <v>19</v>
      </c>
      <c r="B317" s="12">
        <v>45658</v>
      </c>
      <c r="C317" s="16" t="s">
        <v>244</v>
      </c>
      <c r="D317" s="16" t="s">
        <v>243</v>
      </c>
      <c r="E317" s="16" t="s">
        <v>239</v>
      </c>
      <c r="F317" s="14">
        <v>0.12989999999999999</v>
      </c>
      <c r="G317" s="14">
        <v>0.87009999999999998</v>
      </c>
      <c r="H317" s="13">
        <v>45</v>
      </c>
      <c r="I317" s="13">
        <v>79188283</v>
      </c>
    </row>
    <row r="318" spans="1:9" ht="15" customHeight="1" x14ac:dyDescent="0.35">
      <c r="A318" s="11">
        <v>19</v>
      </c>
      <c r="B318" s="12">
        <v>45658</v>
      </c>
      <c r="C318" s="16" t="s">
        <v>244</v>
      </c>
      <c r="D318" s="16" t="s">
        <v>243</v>
      </c>
      <c r="E318" s="16" t="s">
        <v>240</v>
      </c>
      <c r="F318" s="14">
        <v>0.32790000000000002</v>
      </c>
      <c r="G318" s="14">
        <v>0.67210000000000003</v>
      </c>
      <c r="H318" s="13">
        <v>197</v>
      </c>
      <c r="I318" s="13">
        <v>382234340</v>
      </c>
    </row>
    <row r="319" spans="1:9" ht="15" customHeight="1" x14ac:dyDescent="0.35">
      <c r="A319" s="11">
        <v>19</v>
      </c>
      <c r="B319" s="12">
        <v>45658</v>
      </c>
      <c r="C319" s="16" t="s">
        <v>244</v>
      </c>
      <c r="D319" s="16" t="s">
        <v>243</v>
      </c>
      <c r="E319" s="16" t="s">
        <v>241</v>
      </c>
      <c r="F319" s="14">
        <v>0.73670000000000002</v>
      </c>
      <c r="G319" s="14">
        <v>0.26329999999999998</v>
      </c>
      <c r="H319" s="13">
        <v>182</v>
      </c>
      <c r="I319" s="13">
        <v>463364033</v>
      </c>
    </row>
    <row r="320" spans="1:9" ht="15" customHeight="1" x14ac:dyDescent="0.35">
      <c r="A320" s="11">
        <v>19</v>
      </c>
      <c r="B320" s="12">
        <v>45658</v>
      </c>
      <c r="C320" s="16" t="s">
        <v>245</v>
      </c>
      <c r="D320" s="16" t="s">
        <v>237</v>
      </c>
      <c r="E320" s="16" t="s">
        <v>238</v>
      </c>
      <c r="F320" s="14">
        <v>1.84E-2</v>
      </c>
      <c r="G320" s="14">
        <v>0.98160000000000003</v>
      </c>
      <c r="H320" s="13">
        <v>46</v>
      </c>
      <c r="I320" s="13">
        <v>136354989</v>
      </c>
    </row>
    <row r="321" spans="1:9" ht="15" customHeight="1" x14ac:dyDescent="0.35">
      <c r="A321" s="11">
        <v>19</v>
      </c>
      <c r="B321" s="12">
        <v>45658</v>
      </c>
      <c r="C321" s="16" t="s">
        <v>245</v>
      </c>
      <c r="D321" s="16" t="s">
        <v>237</v>
      </c>
      <c r="E321" s="16" t="s">
        <v>239</v>
      </c>
      <c r="F321" s="14">
        <v>0.1208</v>
      </c>
      <c r="G321" s="14">
        <v>0.87919999999999998</v>
      </c>
      <c r="H321" s="13">
        <v>115</v>
      </c>
      <c r="I321" s="13">
        <v>143894024</v>
      </c>
    </row>
    <row r="322" spans="1:9" ht="15" customHeight="1" x14ac:dyDescent="0.35">
      <c r="A322" s="11">
        <v>19</v>
      </c>
      <c r="B322" s="12">
        <v>45658</v>
      </c>
      <c r="C322" s="16" t="s">
        <v>245</v>
      </c>
      <c r="D322" s="16" t="s">
        <v>237</v>
      </c>
      <c r="E322" s="16" t="s">
        <v>240</v>
      </c>
      <c r="F322" s="14">
        <v>0.3039</v>
      </c>
      <c r="G322" s="14">
        <v>0.69610000000000005</v>
      </c>
      <c r="H322" s="13">
        <v>161</v>
      </c>
      <c r="I322" s="13">
        <v>434584841</v>
      </c>
    </row>
    <row r="323" spans="1:9" ht="15" customHeight="1" x14ac:dyDescent="0.35">
      <c r="A323" s="11">
        <v>19</v>
      </c>
      <c r="B323" s="12">
        <v>45658</v>
      </c>
      <c r="C323" s="16" t="s">
        <v>245</v>
      </c>
      <c r="D323" s="16" t="s">
        <v>237</v>
      </c>
      <c r="E323" s="16" t="s">
        <v>241</v>
      </c>
      <c r="F323" s="14">
        <v>0.80889999999999995</v>
      </c>
      <c r="G323" s="14">
        <v>0.19109999999999999</v>
      </c>
      <c r="H323" s="13">
        <v>170</v>
      </c>
      <c r="I323" s="13">
        <v>373468802</v>
      </c>
    </row>
    <row r="324" spans="1:9" ht="15" customHeight="1" x14ac:dyDescent="0.35">
      <c r="A324" s="11">
        <v>19</v>
      </c>
      <c r="B324" s="12">
        <v>45658</v>
      </c>
      <c r="C324" s="16" t="s">
        <v>245</v>
      </c>
      <c r="D324" s="16" t="s">
        <v>242</v>
      </c>
      <c r="E324" s="16" t="s">
        <v>238</v>
      </c>
      <c r="F324" s="14">
        <v>2.0299999999999999E-2</v>
      </c>
      <c r="G324" s="14">
        <v>0.97970000000000002</v>
      </c>
      <c r="H324" s="13">
        <v>22</v>
      </c>
      <c r="I324" s="13">
        <v>64475963</v>
      </c>
    </row>
    <row r="325" spans="1:9" ht="15" customHeight="1" x14ac:dyDescent="0.35">
      <c r="A325" s="11">
        <v>19</v>
      </c>
      <c r="B325" s="12">
        <v>45658</v>
      </c>
      <c r="C325" s="16" t="s">
        <v>245</v>
      </c>
      <c r="D325" s="16" t="s">
        <v>242</v>
      </c>
      <c r="E325" s="16" t="s">
        <v>239</v>
      </c>
      <c r="F325" s="14">
        <v>0.13589999999999999</v>
      </c>
      <c r="G325" s="14">
        <v>0.86409999999999998</v>
      </c>
      <c r="H325" s="13">
        <v>181</v>
      </c>
      <c r="I325" s="13">
        <v>262972471</v>
      </c>
    </row>
    <row r="326" spans="1:9" ht="15" customHeight="1" x14ac:dyDescent="0.35">
      <c r="A326" s="11">
        <v>19</v>
      </c>
      <c r="B326" s="12">
        <v>45658</v>
      </c>
      <c r="C326" s="16" t="s">
        <v>245</v>
      </c>
      <c r="D326" s="16" t="s">
        <v>242</v>
      </c>
      <c r="E326" s="16" t="s">
        <v>240</v>
      </c>
      <c r="F326" s="14">
        <v>0.35260000000000002</v>
      </c>
      <c r="G326" s="14">
        <v>0.64739999999999998</v>
      </c>
      <c r="H326" s="13">
        <v>188</v>
      </c>
      <c r="I326" s="13">
        <v>289672578</v>
      </c>
    </row>
    <row r="327" spans="1:9" ht="15" customHeight="1" x14ac:dyDescent="0.35">
      <c r="A327" s="11">
        <v>19</v>
      </c>
      <c r="B327" s="12">
        <v>45658</v>
      </c>
      <c r="C327" s="16" t="s">
        <v>245</v>
      </c>
      <c r="D327" s="16" t="s">
        <v>242</v>
      </c>
      <c r="E327" s="16" t="s">
        <v>241</v>
      </c>
      <c r="F327" s="14">
        <v>0.64419999999999999</v>
      </c>
      <c r="G327" s="14">
        <v>0.35580000000000001</v>
      </c>
      <c r="H327" s="13">
        <v>106</v>
      </c>
      <c r="I327" s="13">
        <v>101727929</v>
      </c>
    </row>
    <row r="328" spans="1:9" ht="15" customHeight="1" x14ac:dyDescent="0.35">
      <c r="A328" s="11">
        <v>19</v>
      </c>
      <c r="B328" s="12">
        <v>45658</v>
      </c>
      <c r="C328" s="16" t="s">
        <v>245</v>
      </c>
      <c r="D328" s="16" t="s">
        <v>243</v>
      </c>
      <c r="E328" s="16" t="s">
        <v>238</v>
      </c>
      <c r="F328" s="14">
        <v>2.0199999999999999E-2</v>
      </c>
      <c r="G328" s="14">
        <v>0.9798</v>
      </c>
      <c r="H328" s="13">
        <v>71</v>
      </c>
      <c r="I328" s="13">
        <v>186258015</v>
      </c>
    </row>
    <row r="329" spans="1:9" ht="15" customHeight="1" x14ac:dyDescent="0.35">
      <c r="A329" s="11">
        <v>19</v>
      </c>
      <c r="B329" s="12">
        <v>45658</v>
      </c>
      <c r="C329" s="16" t="s">
        <v>245</v>
      </c>
      <c r="D329" s="16" t="s">
        <v>243</v>
      </c>
      <c r="E329" s="16" t="s">
        <v>239</v>
      </c>
      <c r="F329" s="14">
        <v>0.1128</v>
      </c>
      <c r="G329" s="14">
        <v>0.88719999999999999</v>
      </c>
      <c r="H329" s="13">
        <v>191</v>
      </c>
      <c r="I329" s="13">
        <v>164427960</v>
      </c>
    </row>
    <row r="330" spans="1:9" ht="15" customHeight="1" x14ac:dyDescent="0.35">
      <c r="A330" s="11">
        <v>19</v>
      </c>
      <c r="B330" s="12">
        <v>45658</v>
      </c>
      <c r="C330" s="16" t="s">
        <v>245</v>
      </c>
      <c r="D330" s="16" t="s">
        <v>243</v>
      </c>
      <c r="E330" s="16" t="s">
        <v>240</v>
      </c>
      <c r="F330" s="14">
        <v>0.34610000000000002</v>
      </c>
      <c r="G330" s="14">
        <v>0.65390000000000004</v>
      </c>
      <c r="H330" s="13">
        <v>24</v>
      </c>
      <c r="I330" s="13">
        <v>45743157</v>
      </c>
    </row>
    <row r="331" spans="1:9" ht="15" customHeight="1" x14ac:dyDescent="0.35">
      <c r="A331" s="11">
        <v>19</v>
      </c>
      <c r="B331" s="12">
        <v>45658</v>
      </c>
      <c r="C331" s="16" t="s">
        <v>245</v>
      </c>
      <c r="D331" s="16" t="s">
        <v>243</v>
      </c>
      <c r="E331" s="16" t="s">
        <v>241</v>
      </c>
      <c r="F331" s="14">
        <v>0.82099999999999995</v>
      </c>
      <c r="G331" s="14">
        <v>0.17899999999999999</v>
      </c>
      <c r="H331" s="13">
        <v>152</v>
      </c>
      <c r="I331" s="13">
        <v>277396889</v>
      </c>
    </row>
    <row r="332" spans="1:9" ht="15" customHeight="1" x14ac:dyDescent="0.35">
      <c r="A332" s="11">
        <v>19</v>
      </c>
      <c r="B332" s="12">
        <v>45658</v>
      </c>
      <c r="C332" s="16" t="s">
        <v>246</v>
      </c>
      <c r="D332" s="16" t="s">
        <v>237</v>
      </c>
      <c r="E332" s="16" t="s">
        <v>238</v>
      </c>
      <c r="F332" s="14">
        <v>1.9300000000000001E-2</v>
      </c>
      <c r="G332" s="14">
        <v>0.98070000000000002</v>
      </c>
      <c r="H332" s="13">
        <v>75</v>
      </c>
      <c r="I332" s="13">
        <v>75625637</v>
      </c>
    </row>
    <row r="333" spans="1:9" ht="15" customHeight="1" x14ac:dyDescent="0.35">
      <c r="A333" s="11">
        <v>19</v>
      </c>
      <c r="B333" s="12">
        <v>45658</v>
      </c>
      <c r="C333" s="16" t="s">
        <v>246</v>
      </c>
      <c r="D333" s="16" t="s">
        <v>237</v>
      </c>
      <c r="E333" s="16" t="s">
        <v>239</v>
      </c>
      <c r="F333" s="14">
        <v>0.12529999999999999</v>
      </c>
      <c r="G333" s="14">
        <v>0.87470000000000003</v>
      </c>
      <c r="H333" s="13">
        <v>125</v>
      </c>
      <c r="I333" s="13">
        <v>327229183</v>
      </c>
    </row>
    <row r="334" spans="1:9" ht="15" customHeight="1" x14ac:dyDescent="0.35">
      <c r="A334" s="11">
        <v>19</v>
      </c>
      <c r="B334" s="12">
        <v>45658</v>
      </c>
      <c r="C334" s="16" t="s">
        <v>246</v>
      </c>
      <c r="D334" s="16" t="s">
        <v>237</v>
      </c>
      <c r="E334" s="16" t="s">
        <v>240</v>
      </c>
      <c r="F334" s="14">
        <v>0.30719999999999997</v>
      </c>
      <c r="G334" s="14">
        <v>0.69279999999999997</v>
      </c>
      <c r="H334" s="13">
        <v>195</v>
      </c>
      <c r="I334" s="13">
        <v>501835564</v>
      </c>
    </row>
    <row r="335" spans="1:9" ht="15" customHeight="1" x14ac:dyDescent="0.35">
      <c r="A335" s="11">
        <v>19</v>
      </c>
      <c r="B335" s="12">
        <v>45658</v>
      </c>
      <c r="C335" s="16" t="s">
        <v>246</v>
      </c>
      <c r="D335" s="16" t="s">
        <v>237</v>
      </c>
      <c r="E335" s="16" t="s">
        <v>241</v>
      </c>
      <c r="F335" s="14">
        <v>0.62309999999999999</v>
      </c>
      <c r="G335" s="14">
        <v>0.37690000000000001</v>
      </c>
      <c r="H335" s="13">
        <v>106</v>
      </c>
      <c r="I335" s="13">
        <v>231523059</v>
      </c>
    </row>
    <row r="336" spans="1:9" ht="15" customHeight="1" x14ac:dyDescent="0.35">
      <c r="A336" s="11">
        <v>19</v>
      </c>
      <c r="B336" s="12">
        <v>45658</v>
      </c>
      <c r="C336" s="16" t="s">
        <v>246</v>
      </c>
      <c r="D336" s="16" t="s">
        <v>242</v>
      </c>
      <c r="E336" s="16" t="s">
        <v>238</v>
      </c>
      <c r="F336" s="14">
        <v>2.06E-2</v>
      </c>
      <c r="G336" s="14">
        <v>0.97940000000000005</v>
      </c>
      <c r="H336" s="13">
        <v>28</v>
      </c>
      <c r="I336" s="13">
        <v>27171431</v>
      </c>
    </row>
    <row r="337" spans="1:9" ht="15" customHeight="1" x14ac:dyDescent="0.35">
      <c r="A337" s="11">
        <v>19</v>
      </c>
      <c r="B337" s="12">
        <v>45658</v>
      </c>
      <c r="C337" s="16" t="s">
        <v>246</v>
      </c>
      <c r="D337" s="16" t="s">
        <v>242</v>
      </c>
      <c r="E337" s="16" t="s">
        <v>239</v>
      </c>
      <c r="F337" s="14">
        <v>0.12939999999999999</v>
      </c>
      <c r="G337" s="14">
        <v>0.87060000000000004</v>
      </c>
      <c r="H337" s="13">
        <v>195</v>
      </c>
      <c r="I337" s="13">
        <v>424832130</v>
      </c>
    </row>
    <row r="338" spans="1:9" ht="15" customHeight="1" x14ac:dyDescent="0.35">
      <c r="A338" s="11">
        <v>19</v>
      </c>
      <c r="B338" s="12">
        <v>45658</v>
      </c>
      <c r="C338" s="16" t="s">
        <v>246</v>
      </c>
      <c r="D338" s="16" t="s">
        <v>242</v>
      </c>
      <c r="E338" s="16" t="s">
        <v>240</v>
      </c>
      <c r="F338" s="14">
        <v>0.32029999999999997</v>
      </c>
      <c r="G338" s="14">
        <v>0.67969999999999997</v>
      </c>
      <c r="H338" s="13">
        <v>63</v>
      </c>
      <c r="I338" s="13">
        <v>168442132</v>
      </c>
    </row>
    <row r="339" spans="1:9" ht="15" customHeight="1" x14ac:dyDescent="0.35">
      <c r="A339" s="11">
        <v>19</v>
      </c>
      <c r="B339" s="12">
        <v>45658</v>
      </c>
      <c r="C339" s="16" t="s">
        <v>246</v>
      </c>
      <c r="D339" s="16" t="s">
        <v>242</v>
      </c>
      <c r="E339" s="16" t="s">
        <v>241</v>
      </c>
      <c r="F339" s="14">
        <v>0.68389999999999995</v>
      </c>
      <c r="G339" s="14">
        <v>0.31609999999999999</v>
      </c>
      <c r="H339" s="13">
        <v>13</v>
      </c>
      <c r="I339" s="13">
        <v>13383753</v>
      </c>
    </row>
    <row r="340" spans="1:9" ht="15" customHeight="1" x14ac:dyDescent="0.35">
      <c r="A340" s="11">
        <v>19</v>
      </c>
      <c r="B340" s="12">
        <v>45658</v>
      </c>
      <c r="C340" s="16" t="s">
        <v>246</v>
      </c>
      <c r="D340" s="16" t="s">
        <v>243</v>
      </c>
      <c r="E340" s="16" t="s">
        <v>238</v>
      </c>
      <c r="F340" s="14">
        <v>1.8100000000000002E-2</v>
      </c>
      <c r="G340" s="14">
        <v>0.9819</v>
      </c>
      <c r="H340" s="13">
        <v>199</v>
      </c>
      <c r="I340" s="13">
        <v>157864809</v>
      </c>
    </row>
    <row r="341" spans="1:9" ht="15" customHeight="1" x14ac:dyDescent="0.35">
      <c r="A341" s="11">
        <v>19</v>
      </c>
      <c r="B341" s="12">
        <v>45658</v>
      </c>
      <c r="C341" s="16" t="s">
        <v>246</v>
      </c>
      <c r="D341" s="16" t="s">
        <v>243</v>
      </c>
      <c r="E341" s="16" t="s">
        <v>239</v>
      </c>
      <c r="F341" s="14">
        <v>0.13800000000000001</v>
      </c>
      <c r="G341" s="14">
        <v>0.86199999999999999</v>
      </c>
      <c r="H341" s="13">
        <v>132</v>
      </c>
      <c r="I341" s="13">
        <v>367765628</v>
      </c>
    </row>
    <row r="342" spans="1:9" ht="15" customHeight="1" x14ac:dyDescent="0.35">
      <c r="A342" s="11">
        <v>19</v>
      </c>
      <c r="B342" s="12">
        <v>45658</v>
      </c>
      <c r="C342" s="16" t="s">
        <v>246</v>
      </c>
      <c r="D342" s="16" t="s">
        <v>243</v>
      </c>
      <c r="E342" s="16" t="s">
        <v>240</v>
      </c>
      <c r="F342" s="14">
        <v>0.3705</v>
      </c>
      <c r="G342" s="14">
        <v>0.62949999999999995</v>
      </c>
      <c r="H342" s="13">
        <v>190</v>
      </c>
      <c r="I342" s="13">
        <v>192143743</v>
      </c>
    </row>
    <row r="343" spans="1:9" ht="15" customHeight="1" x14ac:dyDescent="0.35">
      <c r="A343" s="11">
        <v>19</v>
      </c>
      <c r="B343" s="12">
        <v>45658</v>
      </c>
      <c r="C343" s="16" t="s">
        <v>246</v>
      </c>
      <c r="D343" s="16" t="s">
        <v>243</v>
      </c>
      <c r="E343" s="16" t="s">
        <v>241</v>
      </c>
      <c r="F343" s="14">
        <v>0.80969999999999998</v>
      </c>
      <c r="G343" s="14">
        <v>0.1903</v>
      </c>
      <c r="H343" s="13">
        <v>151</v>
      </c>
      <c r="I343" s="13">
        <v>196909666</v>
      </c>
    </row>
    <row r="344" spans="1:9" ht="15" customHeight="1" x14ac:dyDescent="0.35">
      <c r="A344" s="11">
        <v>22</v>
      </c>
      <c r="B344" s="12">
        <v>45748</v>
      </c>
      <c r="C344" s="16" t="s">
        <v>236</v>
      </c>
      <c r="D344" s="16" t="s">
        <v>237</v>
      </c>
      <c r="E344" s="16" t="s">
        <v>238</v>
      </c>
      <c r="F344" s="14">
        <v>1.8700000000000001E-2</v>
      </c>
      <c r="G344" s="14">
        <v>0.98129999999999995</v>
      </c>
      <c r="H344" s="13">
        <v>129</v>
      </c>
      <c r="I344" s="13">
        <v>236602166</v>
      </c>
    </row>
    <row r="345" spans="1:9" ht="15" customHeight="1" x14ac:dyDescent="0.35">
      <c r="A345" s="11">
        <v>22</v>
      </c>
      <c r="B345" s="12">
        <v>45748</v>
      </c>
      <c r="C345" s="16" t="s">
        <v>236</v>
      </c>
      <c r="D345" s="16" t="s">
        <v>237</v>
      </c>
      <c r="E345" s="16" t="s">
        <v>239</v>
      </c>
      <c r="F345" s="14">
        <v>0.1149</v>
      </c>
      <c r="G345" s="14">
        <v>0.8851</v>
      </c>
      <c r="H345" s="13">
        <v>76</v>
      </c>
      <c r="I345" s="13">
        <v>106332477</v>
      </c>
    </row>
    <row r="346" spans="1:9" ht="15" customHeight="1" x14ac:dyDescent="0.35">
      <c r="A346" s="11">
        <v>22</v>
      </c>
      <c r="B346" s="12">
        <v>45748</v>
      </c>
      <c r="C346" s="16" t="s">
        <v>236</v>
      </c>
      <c r="D346" s="16" t="s">
        <v>237</v>
      </c>
      <c r="E346" s="16" t="s">
        <v>240</v>
      </c>
      <c r="F346" s="14">
        <v>0.39019999999999999</v>
      </c>
      <c r="G346" s="14">
        <v>0.60980000000000001</v>
      </c>
      <c r="H346" s="13">
        <v>129</v>
      </c>
      <c r="I346" s="13">
        <v>96301155</v>
      </c>
    </row>
    <row r="347" spans="1:9" ht="15" customHeight="1" x14ac:dyDescent="0.35">
      <c r="A347" s="11">
        <v>22</v>
      </c>
      <c r="B347" s="12">
        <v>45748</v>
      </c>
      <c r="C347" s="16" t="s">
        <v>236</v>
      </c>
      <c r="D347" s="16" t="s">
        <v>237</v>
      </c>
      <c r="E347" s="16" t="s">
        <v>241</v>
      </c>
      <c r="F347" s="14">
        <v>0.82399999999999995</v>
      </c>
      <c r="G347" s="14">
        <v>0.17599999999999999</v>
      </c>
      <c r="H347" s="13">
        <v>130</v>
      </c>
      <c r="I347" s="13">
        <v>312529415</v>
      </c>
    </row>
    <row r="348" spans="1:9" ht="15" customHeight="1" x14ac:dyDescent="0.35">
      <c r="A348" s="11">
        <v>22</v>
      </c>
      <c r="B348" s="12">
        <v>45748</v>
      </c>
      <c r="C348" s="16" t="s">
        <v>236</v>
      </c>
      <c r="D348" s="16" t="s">
        <v>242</v>
      </c>
      <c r="E348" s="16" t="s">
        <v>238</v>
      </c>
      <c r="F348" s="14">
        <v>1.89E-2</v>
      </c>
      <c r="G348" s="14">
        <v>0.98109999999999997</v>
      </c>
      <c r="H348" s="13">
        <v>62</v>
      </c>
      <c r="I348" s="13">
        <v>88459263</v>
      </c>
    </row>
    <row r="349" spans="1:9" ht="15" customHeight="1" x14ac:dyDescent="0.35">
      <c r="A349" s="11">
        <v>22</v>
      </c>
      <c r="B349" s="12">
        <v>45748</v>
      </c>
      <c r="C349" s="16" t="s">
        <v>236</v>
      </c>
      <c r="D349" s="16" t="s">
        <v>242</v>
      </c>
      <c r="E349" s="16" t="s">
        <v>239</v>
      </c>
      <c r="F349" s="14">
        <v>0.1169</v>
      </c>
      <c r="G349" s="14">
        <v>0.8831</v>
      </c>
      <c r="H349" s="13">
        <v>154</v>
      </c>
      <c r="I349" s="13">
        <v>409672664</v>
      </c>
    </row>
    <row r="350" spans="1:9" ht="15" customHeight="1" x14ac:dyDescent="0.35">
      <c r="A350" s="11">
        <v>22</v>
      </c>
      <c r="B350" s="12">
        <v>45748</v>
      </c>
      <c r="C350" s="16" t="s">
        <v>236</v>
      </c>
      <c r="D350" s="16" t="s">
        <v>242</v>
      </c>
      <c r="E350" s="16" t="s">
        <v>240</v>
      </c>
      <c r="F350" s="14">
        <v>0.37530000000000002</v>
      </c>
      <c r="G350" s="14">
        <v>0.62470000000000003</v>
      </c>
      <c r="H350" s="13">
        <v>14</v>
      </c>
      <c r="I350" s="13">
        <v>16127094</v>
      </c>
    </row>
    <row r="351" spans="1:9" ht="15" customHeight="1" x14ac:dyDescent="0.35">
      <c r="A351" s="11">
        <v>22</v>
      </c>
      <c r="B351" s="12">
        <v>45748</v>
      </c>
      <c r="C351" s="16" t="s">
        <v>236</v>
      </c>
      <c r="D351" s="16" t="s">
        <v>242</v>
      </c>
      <c r="E351" s="16" t="s">
        <v>241</v>
      </c>
      <c r="F351" s="14">
        <v>0.81389999999999996</v>
      </c>
      <c r="G351" s="14">
        <v>0.18609999999999999</v>
      </c>
      <c r="H351" s="13">
        <v>158</v>
      </c>
      <c r="I351" s="13">
        <v>363404715</v>
      </c>
    </row>
    <row r="352" spans="1:9" ht="15" customHeight="1" x14ac:dyDescent="0.35">
      <c r="A352" s="11">
        <v>22</v>
      </c>
      <c r="B352" s="12">
        <v>45748</v>
      </c>
      <c r="C352" s="16" t="s">
        <v>236</v>
      </c>
      <c r="D352" s="16" t="s">
        <v>243</v>
      </c>
      <c r="E352" s="16" t="s">
        <v>238</v>
      </c>
      <c r="F352" s="14">
        <v>1.8800000000000001E-2</v>
      </c>
      <c r="G352" s="14">
        <v>0.98119999999999996</v>
      </c>
      <c r="H352" s="13">
        <v>60</v>
      </c>
      <c r="I352" s="13">
        <v>79479793</v>
      </c>
    </row>
    <row r="353" spans="1:9" ht="15" customHeight="1" x14ac:dyDescent="0.35">
      <c r="A353" s="11">
        <v>22</v>
      </c>
      <c r="B353" s="12">
        <v>45748</v>
      </c>
      <c r="C353" s="16" t="s">
        <v>236</v>
      </c>
      <c r="D353" s="16" t="s">
        <v>243</v>
      </c>
      <c r="E353" s="16" t="s">
        <v>239</v>
      </c>
      <c r="F353" s="14">
        <v>0.1157</v>
      </c>
      <c r="G353" s="14">
        <v>0.88429999999999997</v>
      </c>
      <c r="H353" s="13">
        <v>72</v>
      </c>
      <c r="I353" s="13">
        <v>125874267</v>
      </c>
    </row>
    <row r="354" spans="1:9" ht="15" customHeight="1" x14ac:dyDescent="0.35">
      <c r="A354" s="11">
        <v>22</v>
      </c>
      <c r="B354" s="12">
        <v>45748</v>
      </c>
      <c r="C354" s="16" t="s">
        <v>236</v>
      </c>
      <c r="D354" s="16" t="s">
        <v>243</v>
      </c>
      <c r="E354" s="16" t="s">
        <v>240</v>
      </c>
      <c r="F354" s="14">
        <v>0.36620000000000003</v>
      </c>
      <c r="G354" s="14">
        <v>0.63380000000000003</v>
      </c>
      <c r="H354" s="13">
        <v>185</v>
      </c>
      <c r="I354" s="13">
        <v>248623481</v>
      </c>
    </row>
    <row r="355" spans="1:9" ht="15" customHeight="1" x14ac:dyDescent="0.35">
      <c r="A355" s="11">
        <v>22</v>
      </c>
      <c r="B355" s="12">
        <v>45748</v>
      </c>
      <c r="C355" s="16" t="s">
        <v>236</v>
      </c>
      <c r="D355" s="16" t="s">
        <v>243</v>
      </c>
      <c r="E355" s="16" t="s">
        <v>241</v>
      </c>
      <c r="F355" s="14">
        <v>0.77690000000000003</v>
      </c>
      <c r="G355" s="14">
        <v>0.22309999999999999</v>
      </c>
      <c r="H355" s="13">
        <v>135</v>
      </c>
      <c r="I355" s="13">
        <v>393696540</v>
      </c>
    </row>
    <row r="356" spans="1:9" ht="15" customHeight="1" x14ac:dyDescent="0.35">
      <c r="A356" s="11">
        <v>22</v>
      </c>
      <c r="B356" s="12">
        <v>45748</v>
      </c>
      <c r="C356" s="16" t="s">
        <v>244</v>
      </c>
      <c r="D356" s="16" t="s">
        <v>237</v>
      </c>
      <c r="E356" s="16" t="s">
        <v>238</v>
      </c>
      <c r="F356" s="14">
        <v>2.0899999999999998E-2</v>
      </c>
      <c r="G356" s="14">
        <v>0.97909999999999997</v>
      </c>
      <c r="H356" s="13">
        <v>135</v>
      </c>
      <c r="I356" s="13">
        <v>223029787</v>
      </c>
    </row>
    <row r="357" spans="1:9" ht="15" customHeight="1" x14ac:dyDescent="0.35">
      <c r="A357" s="11">
        <v>22</v>
      </c>
      <c r="B357" s="12">
        <v>45748</v>
      </c>
      <c r="C357" s="16" t="s">
        <v>244</v>
      </c>
      <c r="D357" s="16" t="s">
        <v>237</v>
      </c>
      <c r="E357" s="16" t="s">
        <v>239</v>
      </c>
      <c r="F357" s="14">
        <v>0.12839999999999999</v>
      </c>
      <c r="G357" s="14">
        <v>0.87160000000000004</v>
      </c>
      <c r="H357" s="13">
        <v>100</v>
      </c>
      <c r="I357" s="13">
        <v>92316428</v>
      </c>
    </row>
    <row r="358" spans="1:9" ht="15" customHeight="1" x14ac:dyDescent="0.35">
      <c r="A358" s="11">
        <v>22</v>
      </c>
      <c r="B358" s="12">
        <v>45748</v>
      </c>
      <c r="C358" s="16" t="s">
        <v>244</v>
      </c>
      <c r="D358" s="16" t="s">
        <v>237</v>
      </c>
      <c r="E358" s="16" t="s">
        <v>240</v>
      </c>
      <c r="F358" s="14">
        <v>0.37309999999999999</v>
      </c>
      <c r="G358" s="14">
        <v>0.62690000000000001</v>
      </c>
      <c r="H358" s="13">
        <v>135</v>
      </c>
      <c r="I358" s="13">
        <v>129616123</v>
      </c>
    </row>
    <row r="359" spans="1:9" ht="15" customHeight="1" x14ac:dyDescent="0.35">
      <c r="A359" s="11">
        <v>22</v>
      </c>
      <c r="B359" s="12">
        <v>45748</v>
      </c>
      <c r="C359" s="16" t="s">
        <v>244</v>
      </c>
      <c r="D359" s="16" t="s">
        <v>237</v>
      </c>
      <c r="E359" s="16" t="s">
        <v>241</v>
      </c>
      <c r="F359" s="14">
        <v>0.80410000000000004</v>
      </c>
      <c r="G359" s="14">
        <v>0.19589999999999999</v>
      </c>
      <c r="H359" s="13">
        <v>174</v>
      </c>
      <c r="I359" s="13">
        <v>503398049</v>
      </c>
    </row>
    <row r="360" spans="1:9" ht="15" customHeight="1" x14ac:dyDescent="0.35">
      <c r="A360" s="11">
        <v>22</v>
      </c>
      <c r="B360" s="12">
        <v>45748</v>
      </c>
      <c r="C360" s="16" t="s">
        <v>244</v>
      </c>
      <c r="D360" s="16" t="s">
        <v>242</v>
      </c>
      <c r="E360" s="16" t="s">
        <v>238</v>
      </c>
      <c r="F360" s="14">
        <v>2.01E-2</v>
      </c>
      <c r="G360" s="14">
        <v>0.97989999999999999</v>
      </c>
      <c r="H360" s="13">
        <v>29</v>
      </c>
      <c r="I360" s="13">
        <v>83026138</v>
      </c>
    </row>
    <row r="361" spans="1:9" ht="15" customHeight="1" x14ac:dyDescent="0.35">
      <c r="A361" s="11">
        <v>22</v>
      </c>
      <c r="B361" s="12">
        <v>45748</v>
      </c>
      <c r="C361" s="16" t="s">
        <v>244</v>
      </c>
      <c r="D361" s="16" t="s">
        <v>242</v>
      </c>
      <c r="E361" s="16" t="s">
        <v>239</v>
      </c>
      <c r="F361" s="14">
        <v>0.12609999999999999</v>
      </c>
      <c r="G361" s="14">
        <v>0.87390000000000001</v>
      </c>
      <c r="H361" s="13">
        <v>11</v>
      </c>
      <c r="I361" s="13">
        <v>16840786</v>
      </c>
    </row>
    <row r="362" spans="1:9" ht="15" customHeight="1" x14ac:dyDescent="0.35">
      <c r="A362" s="11">
        <v>22</v>
      </c>
      <c r="B362" s="12">
        <v>45748</v>
      </c>
      <c r="C362" s="16" t="s">
        <v>244</v>
      </c>
      <c r="D362" s="16" t="s">
        <v>242</v>
      </c>
      <c r="E362" s="16" t="s">
        <v>240</v>
      </c>
      <c r="F362" s="14">
        <v>0.38600000000000001</v>
      </c>
      <c r="G362" s="14">
        <v>0.61399999999999999</v>
      </c>
      <c r="H362" s="13">
        <v>69</v>
      </c>
      <c r="I362" s="13">
        <v>46224470</v>
      </c>
    </row>
    <row r="363" spans="1:9" ht="15" customHeight="1" x14ac:dyDescent="0.35">
      <c r="A363" s="11">
        <v>22</v>
      </c>
      <c r="B363" s="12">
        <v>45748</v>
      </c>
      <c r="C363" s="16" t="s">
        <v>244</v>
      </c>
      <c r="D363" s="16" t="s">
        <v>242</v>
      </c>
      <c r="E363" s="16" t="s">
        <v>241</v>
      </c>
      <c r="F363" s="14">
        <v>0.64459999999999995</v>
      </c>
      <c r="G363" s="14">
        <v>0.35539999999999999</v>
      </c>
      <c r="H363" s="13">
        <v>65</v>
      </c>
      <c r="I363" s="13">
        <v>114681599</v>
      </c>
    </row>
    <row r="364" spans="1:9" ht="15" customHeight="1" x14ac:dyDescent="0.35">
      <c r="A364" s="11">
        <v>22</v>
      </c>
      <c r="B364" s="12">
        <v>45748</v>
      </c>
      <c r="C364" s="16" t="s">
        <v>244</v>
      </c>
      <c r="D364" s="16" t="s">
        <v>243</v>
      </c>
      <c r="E364" s="16" t="s">
        <v>238</v>
      </c>
      <c r="F364" s="14">
        <v>1.9199999999999998E-2</v>
      </c>
      <c r="G364" s="14">
        <v>0.98080000000000001</v>
      </c>
      <c r="H364" s="13">
        <v>168</v>
      </c>
      <c r="I364" s="13">
        <v>351846009</v>
      </c>
    </row>
    <row r="365" spans="1:9" ht="15" customHeight="1" x14ac:dyDescent="0.35">
      <c r="A365" s="11">
        <v>22</v>
      </c>
      <c r="B365" s="12">
        <v>45748</v>
      </c>
      <c r="C365" s="16" t="s">
        <v>244</v>
      </c>
      <c r="D365" s="16" t="s">
        <v>243</v>
      </c>
      <c r="E365" s="16" t="s">
        <v>239</v>
      </c>
      <c r="F365" s="14">
        <v>0.1356</v>
      </c>
      <c r="G365" s="14">
        <v>0.86439999999999995</v>
      </c>
      <c r="H365" s="13">
        <v>133</v>
      </c>
      <c r="I365" s="13">
        <v>285712044</v>
      </c>
    </row>
    <row r="366" spans="1:9" ht="15" customHeight="1" x14ac:dyDescent="0.35">
      <c r="A366" s="11">
        <v>22</v>
      </c>
      <c r="B366" s="12">
        <v>45748</v>
      </c>
      <c r="C366" s="16" t="s">
        <v>244</v>
      </c>
      <c r="D366" s="16" t="s">
        <v>243</v>
      </c>
      <c r="E366" s="16" t="s">
        <v>240</v>
      </c>
      <c r="F366" s="14">
        <v>0.29920000000000002</v>
      </c>
      <c r="G366" s="14">
        <v>0.70079999999999998</v>
      </c>
      <c r="H366" s="13">
        <v>146</v>
      </c>
      <c r="I366" s="13">
        <v>274349900</v>
      </c>
    </row>
    <row r="367" spans="1:9" ht="15" customHeight="1" x14ac:dyDescent="0.35">
      <c r="A367" s="11">
        <v>22</v>
      </c>
      <c r="B367" s="12">
        <v>45748</v>
      </c>
      <c r="C367" s="16" t="s">
        <v>244</v>
      </c>
      <c r="D367" s="16" t="s">
        <v>243</v>
      </c>
      <c r="E367" s="16" t="s">
        <v>241</v>
      </c>
      <c r="F367" s="14">
        <v>0.61460000000000004</v>
      </c>
      <c r="G367" s="14">
        <v>0.38540000000000002</v>
      </c>
      <c r="H367" s="13">
        <v>145</v>
      </c>
      <c r="I367" s="13">
        <v>334294862</v>
      </c>
    </row>
    <row r="368" spans="1:9" ht="15" customHeight="1" x14ac:dyDescent="0.35">
      <c r="A368" s="11">
        <v>22</v>
      </c>
      <c r="B368" s="12">
        <v>45748</v>
      </c>
      <c r="C368" s="16" t="s">
        <v>245</v>
      </c>
      <c r="D368" s="16" t="s">
        <v>237</v>
      </c>
      <c r="E368" s="16" t="s">
        <v>238</v>
      </c>
      <c r="F368" s="14">
        <v>2.0199999999999999E-2</v>
      </c>
      <c r="G368" s="14">
        <v>0.9798</v>
      </c>
      <c r="H368" s="13">
        <v>83</v>
      </c>
      <c r="I368" s="13">
        <v>45057089</v>
      </c>
    </row>
    <row r="369" spans="1:9" ht="15" customHeight="1" x14ac:dyDescent="0.35">
      <c r="A369" s="11">
        <v>22</v>
      </c>
      <c r="B369" s="12">
        <v>45748</v>
      </c>
      <c r="C369" s="16" t="s">
        <v>245</v>
      </c>
      <c r="D369" s="16" t="s">
        <v>237</v>
      </c>
      <c r="E369" s="16" t="s">
        <v>239</v>
      </c>
      <c r="F369" s="14">
        <v>0.1313</v>
      </c>
      <c r="G369" s="14">
        <v>0.86870000000000003</v>
      </c>
      <c r="H369" s="13">
        <v>182</v>
      </c>
      <c r="I369" s="13">
        <v>286910810</v>
      </c>
    </row>
    <row r="370" spans="1:9" ht="15" customHeight="1" x14ac:dyDescent="0.35">
      <c r="A370" s="11">
        <v>22</v>
      </c>
      <c r="B370" s="12">
        <v>45748</v>
      </c>
      <c r="C370" s="16" t="s">
        <v>245</v>
      </c>
      <c r="D370" s="16" t="s">
        <v>237</v>
      </c>
      <c r="E370" s="16" t="s">
        <v>240</v>
      </c>
      <c r="F370" s="14">
        <v>0.3962</v>
      </c>
      <c r="G370" s="14">
        <v>0.6038</v>
      </c>
      <c r="H370" s="13">
        <v>55</v>
      </c>
      <c r="I370" s="13">
        <v>42214759</v>
      </c>
    </row>
    <row r="371" spans="1:9" ht="15" customHeight="1" x14ac:dyDescent="0.35">
      <c r="A371" s="11">
        <v>22</v>
      </c>
      <c r="B371" s="12">
        <v>45748</v>
      </c>
      <c r="C371" s="16" t="s">
        <v>245</v>
      </c>
      <c r="D371" s="16" t="s">
        <v>237</v>
      </c>
      <c r="E371" s="16" t="s">
        <v>241</v>
      </c>
      <c r="F371" s="14">
        <v>0.63280000000000003</v>
      </c>
      <c r="G371" s="14">
        <v>0.36720000000000003</v>
      </c>
      <c r="H371" s="13">
        <v>48</v>
      </c>
      <c r="I371" s="13">
        <v>52916260</v>
      </c>
    </row>
    <row r="372" spans="1:9" ht="15" customHeight="1" x14ac:dyDescent="0.35">
      <c r="A372" s="11">
        <v>22</v>
      </c>
      <c r="B372" s="12">
        <v>45748</v>
      </c>
      <c r="C372" s="16" t="s">
        <v>245</v>
      </c>
      <c r="D372" s="16" t="s">
        <v>242</v>
      </c>
      <c r="E372" s="16" t="s">
        <v>238</v>
      </c>
      <c r="F372" s="14">
        <v>2.07E-2</v>
      </c>
      <c r="G372" s="14">
        <v>0.97929999999999995</v>
      </c>
      <c r="H372" s="13">
        <v>74</v>
      </c>
      <c r="I372" s="13">
        <v>187814662</v>
      </c>
    </row>
    <row r="373" spans="1:9" ht="15" customHeight="1" x14ac:dyDescent="0.35">
      <c r="A373" s="11">
        <v>22</v>
      </c>
      <c r="B373" s="12">
        <v>45748</v>
      </c>
      <c r="C373" s="16" t="s">
        <v>245</v>
      </c>
      <c r="D373" s="16" t="s">
        <v>242</v>
      </c>
      <c r="E373" s="16" t="s">
        <v>239</v>
      </c>
      <c r="F373" s="14">
        <v>0.1116</v>
      </c>
      <c r="G373" s="14">
        <v>0.88839999999999997</v>
      </c>
      <c r="H373" s="13">
        <v>111</v>
      </c>
      <c r="I373" s="13">
        <v>77427840</v>
      </c>
    </row>
    <row r="374" spans="1:9" ht="15" customHeight="1" x14ac:dyDescent="0.35">
      <c r="A374" s="11">
        <v>22</v>
      </c>
      <c r="B374" s="12">
        <v>45748</v>
      </c>
      <c r="C374" s="16" t="s">
        <v>245</v>
      </c>
      <c r="D374" s="16" t="s">
        <v>242</v>
      </c>
      <c r="E374" s="16" t="s">
        <v>240</v>
      </c>
      <c r="F374" s="14">
        <v>0.3982</v>
      </c>
      <c r="G374" s="14">
        <v>0.6018</v>
      </c>
      <c r="H374" s="13">
        <v>127</v>
      </c>
      <c r="I374" s="13">
        <v>242888193</v>
      </c>
    </row>
    <row r="375" spans="1:9" ht="15" customHeight="1" x14ac:dyDescent="0.35">
      <c r="A375" s="11">
        <v>22</v>
      </c>
      <c r="B375" s="12">
        <v>45748</v>
      </c>
      <c r="C375" s="16" t="s">
        <v>245</v>
      </c>
      <c r="D375" s="16" t="s">
        <v>242</v>
      </c>
      <c r="E375" s="16" t="s">
        <v>241</v>
      </c>
      <c r="F375" s="14">
        <v>0.82589999999999997</v>
      </c>
      <c r="G375" s="14">
        <v>0.1741</v>
      </c>
      <c r="H375" s="13">
        <v>67</v>
      </c>
      <c r="I375" s="13">
        <v>83745752</v>
      </c>
    </row>
    <row r="376" spans="1:9" ht="15" customHeight="1" x14ac:dyDescent="0.35">
      <c r="A376" s="11">
        <v>22</v>
      </c>
      <c r="B376" s="12">
        <v>45748</v>
      </c>
      <c r="C376" s="16" t="s">
        <v>245</v>
      </c>
      <c r="D376" s="16" t="s">
        <v>243</v>
      </c>
      <c r="E376" s="16" t="s">
        <v>238</v>
      </c>
      <c r="F376" s="14">
        <v>2.1999999999999999E-2</v>
      </c>
      <c r="G376" s="14">
        <v>0.97799999999999998</v>
      </c>
      <c r="H376" s="13">
        <v>30</v>
      </c>
      <c r="I376" s="13">
        <v>64030179</v>
      </c>
    </row>
    <row r="377" spans="1:9" ht="15" customHeight="1" x14ac:dyDescent="0.35">
      <c r="A377" s="11">
        <v>22</v>
      </c>
      <c r="B377" s="12">
        <v>45748</v>
      </c>
      <c r="C377" s="16" t="s">
        <v>245</v>
      </c>
      <c r="D377" s="16" t="s">
        <v>243</v>
      </c>
      <c r="E377" s="16" t="s">
        <v>239</v>
      </c>
      <c r="F377" s="14">
        <v>0.13289999999999999</v>
      </c>
      <c r="G377" s="14">
        <v>0.86709999999999998</v>
      </c>
      <c r="H377" s="13">
        <v>18</v>
      </c>
      <c r="I377" s="13">
        <v>13207523</v>
      </c>
    </row>
    <row r="378" spans="1:9" ht="15" customHeight="1" x14ac:dyDescent="0.35">
      <c r="A378" s="11">
        <v>22</v>
      </c>
      <c r="B378" s="12">
        <v>45748</v>
      </c>
      <c r="C378" s="16" t="s">
        <v>245</v>
      </c>
      <c r="D378" s="16" t="s">
        <v>243</v>
      </c>
      <c r="E378" s="16" t="s">
        <v>240</v>
      </c>
      <c r="F378" s="14">
        <v>0.33729999999999999</v>
      </c>
      <c r="G378" s="14">
        <v>0.66269999999999996</v>
      </c>
      <c r="H378" s="13">
        <v>151</v>
      </c>
      <c r="I378" s="13">
        <v>255191925</v>
      </c>
    </row>
    <row r="379" spans="1:9" ht="15" customHeight="1" x14ac:dyDescent="0.35">
      <c r="A379" s="11">
        <v>22</v>
      </c>
      <c r="B379" s="12">
        <v>45748</v>
      </c>
      <c r="C379" s="16" t="s">
        <v>245</v>
      </c>
      <c r="D379" s="16" t="s">
        <v>243</v>
      </c>
      <c r="E379" s="16" t="s">
        <v>241</v>
      </c>
      <c r="F379" s="14">
        <v>0.74950000000000006</v>
      </c>
      <c r="G379" s="14">
        <v>0.2505</v>
      </c>
      <c r="H379" s="13">
        <v>189</v>
      </c>
      <c r="I379" s="13">
        <v>175478739</v>
      </c>
    </row>
    <row r="380" spans="1:9" ht="15" customHeight="1" x14ac:dyDescent="0.35">
      <c r="A380" s="11">
        <v>22</v>
      </c>
      <c r="B380" s="12">
        <v>45748</v>
      </c>
      <c r="C380" s="16" t="s">
        <v>246</v>
      </c>
      <c r="D380" s="16" t="s">
        <v>237</v>
      </c>
      <c r="E380" s="16" t="s">
        <v>238</v>
      </c>
      <c r="F380" s="14">
        <v>0.02</v>
      </c>
      <c r="G380" s="14">
        <v>0.98</v>
      </c>
      <c r="H380" s="13">
        <v>121</v>
      </c>
      <c r="I380" s="13">
        <v>255584441</v>
      </c>
    </row>
    <row r="381" spans="1:9" ht="15" customHeight="1" x14ac:dyDescent="0.35">
      <c r="A381" s="11">
        <v>22</v>
      </c>
      <c r="B381" s="12">
        <v>45748</v>
      </c>
      <c r="C381" s="16" t="s">
        <v>246</v>
      </c>
      <c r="D381" s="16" t="s">
        <v>237</v>
      </c>
      <c r="E381" s="16" t="s">
        <v>239</v>
      </c>
      <c r="F381" s="14">
        <v>0.1139</v>
      </c>
      <c r="G381" s="14">
        <v>0.8861</v>
      </c>
      <c r="H381" s="13">
        <v>34</v>
      </c>
      <c r="I381" s="13">
        <v>93057253</v>
      </c>
    </row>
    <row r="382" spans="1:9" ht="15" customHeight="1" x14ac:dyDescent="0.35">
      <c r="A382" s="11">
        <v>22</v>
      </c>
      <c r="B382" s="12">
        <v>45748</v>
      </c>
      <c r="C382" s="16" t="s">
        <v>246</v>
      </c>
      <c r="D382" s="16" t="s">
        <v>237</v>
      </c>
      <c r="E382" s="16" t="s">
        <v>240</v>
      </c>
      <c r="F382" s="14">
        <v>0.39400000000000002</v>
      </c>
      <c r="G382" s="14">
        <v>0.60599999999999998</v>
      </c>
      <c r="H382" s="13">
        <v>68</v>
      </c>
      <c r="I382" s="13">
        <v>69940900</v>
      </c>
    </row>
    <row r="383" spans="1:9" ht="15" customHeight="1" x14ac:dyDescent="0.35">
      <c r="A383" s="11">
        <v>22</v>
      </c>
      <c r="B383" s="12">
        <v>45748</v>
      </c>
      <c r="C383" s="16" t="s">
        <v>246</v>
      </c>
      <c r="D383" s="16" t="s">
        <v>237</v>
      </c>
      <c r="E383" s="16" t="s">
        <v>241</v>
      </c>
      <c r="F383" s="14">
        <v>0.79949999999999999</v>
      </c>
      <c r="G383" s="14">
        <v>0.20050000000000001</v>
      </c>
      <c r="H383" s="13">
        <v>155</v>
      </c>
      <c r="I383" s="13">
        <v>261756361</v>
      </c>
    </row>
    <row r="384" spans="1:9" ht="15" customHeight="1" x14ac:dyDescent="0.35">
      <c r="A384" s="11">
        <v>22</v>
      </c>
      <c r="B384" s="12">
        <v>45748</v>
      </c>
      <c r="C384" s="16" t="s">
        <v>246</v>
      </c>
      <c r="D384" s="16" t="s">
        <v>242</v>
      </c>
      <c r="E384" s="16" t="s">
        <v>238</v>
      </c>
      <c r="F384" s="14">
        <v>1.7299999999999999E-2</v>
      </c>
      <c r="G384" s="14">
        <v>0.98270000000000002</v>
      </c>
      <c r="H384" s="13">
        <v>29</v>
      </c>
      <c r="I384" s="13">
        <v>64121084</v>
      </c>
    </row>
    <row r="385" spans="1:9" ht="15" customHeight="1" x14ac:dyDescent="0.35">
      <c r="A385" s="11">
        <v>22</v>
      </c>
      <c r="B385" s="12">
        <v>45748</v>
      </c>
      <c r="C385" s="16" t="s">
        <v>246</v>
      </c>
      <c r="D385" s="16" t="s">
        <v>242</v>
      </c>
      <c r="E385" s="16" t="s">
        <v>239</v>
      </c>
      <c r="F385" s="14">
        <v>0.11210000000000001</v>
      </c>
      <c r="G385" s="14">
        <v>0.88790000000000002</v>
      </c>
      <c r="H385" s="13">
        <v>149</v>
      </c>
      <c r="I385" s="13">
        <v>284407424</v>
      </c>
    </row>
    <row r="386" spans="1:9" ht="15" customHeight="1" x14ac:dyDescent="0.35">
      <c r="A386" s="11">
        <v>22</v>
      </c>
      <c r="B386" s="12">
        <v>45748</v>
      </c>
      <c r="C386" s="16" t="s">
        <v>246</v>
      </c>
      <c r="D386" s="16" t="s">
        <v>242</v>
      </c>
      <c r="E386" s="16" t="s">
        <v>240</v>
      </c>
      <c r="F386" s="14">
        <v>0.30099999999999999</v>
      </c>
      <c r="G386" s="14">
        <v>0.69899999999999995</v>
      </c>
      <c r="H386" s="13">
        <v>90</v>
      </c>
      <c r="I386" s="13">
        <v>48523071</v>
      </c>
    </row>
    <row r="387" spans="1:9" ht="15" customHeight="1" x14ac:dyDescent="0.35">
      <c r="A387" s="11">
        <v>22</v>
      </c>
      <c r="B387" s="12">
        <v>45748</v>
      </c>
      <c r="C387" s="16" t="s">
        <v>246</v>
      </c>
      <c r="D387" s="16" t="s">
        <v>242</v>
      </c>
      <c r="E387" s="16" t="s">
        <v>241</v>
      </c>
      <c r="F387" s="14">
        <v>0.65669999999999995</v>
      </c>
      <c r="G387" s="14">
        <v>0.34329999999999999</v>
      </c>
      <c r="H387" s="13">
        <v>46</v>
      </c>
      <c r="I387" s="13">
        <v>109509264</v>
      </c>
    </row>
    <row r="388" spans="1:9" ht="15" customHeight="1" x14ac:dyDescent="0.35">
      <c r="A388" s="11">
        <v>22</v>
      </c>
      <c r="B388" s="12">
        <v>45748</v>
      </c>
      <c r="C388" s="16" t="s">
        <v>246</v>
      </c>
      <c r="D388" s="16" t="s">
        <v>243</v>
      </c>
      <c r="E388" s="16" t="s">
        <v>238</v>
      </c>
      <c r="F388" s="14">
        <v>2.1299999999999999E-2</v>
      </c>
      <c r="G388" s="14">
        <v>0.97870000000000001</v>
      </c>
      <c r="H388" s="13">
        <v>111</v>
      </c>
      <c r="I388" s="13">
        <v>313262796</v>
      </c>
    </row>
    <row r="389" spans="1:9" ht="15" customHeight="1" x14ac:dyDescent="0.35">
      <c r="A389" s="11">
        <v>22</v>
      </c>
      <c r="B389" s="12">
        <v>45748</v>
      </c>
      <c r="C389" s="16" t="s">
        <v>246</v>
      </c>
      <c r="D389" s="16" t="s">
        <v>243</v>
      </c>
      <c r="E389" s="16" t="s">
        <v>239</v>
      </c>
      <c r="F389" s="14">
        <v>0.1128</v>
      </c>
      <c r="G389" s="14">
        <v>0.88719999999999999</v>
      </c>
      <c r="H389" s="13">
        <v>154</v>
      </c>
      <c r="I389" s="13">
        <v>169581795</v>
      </c>
    </row>
    <row r="390" spans="1:9" ht="15" customHeight="1" x14ac:dyDescent="0.35">
      <c r="A390" s="11">
        <v>22</v>
      </c>
      <c r="B390" s="12">
        <v>45748</v>
      </c>
      <c r="C390" s="16" t="s">
        <v>246</v>
      </c>
      <c r="D390" s="16" t="s">
        <v>243</v>
      </c>
      <c r="E390" s="16" t="s">
        <v>240</v>
      </c>
      <c r="F390" s="14">
        <v>0.3851</v>
      </c>
      <c r="G390" s="14">
        <v>0.6149</v>
      </c>
      <c r="H390" s="13">
        <v>109</v>
      </c>
      <c r="I390" s="13">
        <v>238992028</v>
      </c>
    </row>
    <row r="391" spans="1:9" ht="15" customHeight="1" x14ac:dyDescent="0.35">
      <c r="A391" s="11">
        <v>22</v>
      </c>
      <c r="B391" s="12">
        <v>45748</v>
      </c>
      <c r="C391" s="16" t="s">
        <v>246</v>
      </c>
      <c r="D391" s="16" t="s">
        <v>243</v>
      </c>
      <c r="E391" s="16" t="s">
        <v>241</v>
      </c>
      <c r="F391" s="14">
        <v>0.7288</v>
      </c>
      <c r="G391" s="14">
        <v>0.2712</v>
      </c>
      <c r="H391" s="13">
        <v>108</v>
      </c>
      <c r="I391" s="13">
        <v>258014501</v>
      </c>
    </row>
  </sheetData>
  <mergeCells count="8">
    <mergeCell ref="I2:I5"/>
    <mergeCell ref="B2:B5"/>
    <mergeCell ref="C2:C5"/>
    <mergeCell ref="D2:D5"/>
    <mergeCell ref="E2:E5"/>
    <mergeCell ref="F2:F5"/>
    <mergeCell ref="G2:G5"/>
    <mergeCell ref="H2:H5"/>
  </mergeCells>
  <phoneticPr fontId="14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287C-5293-498A-B0E2-D148E5195034}">
  <dimension ref="A1:C8"/>
  <sheetViews>
    <sheetView workbookViewId="0">
      <selection activeCell="B4" sqref="B4"/>
    </sheetView>
  </sheetViews>
  <sheetFormatPr defaultRowHeight="14.5" x14ac:dyDescent="0.35"/>
  <cols>
    <col min="1" max="1" width="33" bestFit="1" customWidth="1"/>
    <col min="2" max="2" width="58.7265625" customWidth="1"/>
  </cols>
  <sheetData>
    <row r="1" spans="1:3" x14ac:dyDescent="0.35">
      <c r="A1" t="s">
        <v>247</v>
      </c>
    </row>
    <row r="2" spans="1:3" x14ac:dyDescent="0.35">
      <c r="A2" t="s">
        <v>448</v>
      </c>
    </row>
    <row r="3" spans="1:3" x14ac:dyDescent="0.35">
      <c r="A3" t="s">
        <v>447</v>
      </c>
    </row>
    <row r="4" spans="1:3" ht="15" x14ac:dyDescent="0.35">
      <c r="A4" s="116" t="s">
        <v>450</v>
      </c>
      <c r="B4" s="84" t="s">
        <v>457</v>
      </c>
      <c r="C4" t="s">
        <v>451</v>
      </c>
    </row>
    <row r="5" spans="1:3" ht="15" x14ac:dyDescent="0.35">
      <c r="A5" s="116"/>
      <c r="B5" s="84" t="s">
        <v>458</v>
      </c>
      <c r="C5" t="s">
        <v>452</v>
      </c>
    </row>
    <row r="6" spans="1:3" ht="15" x14ac:dyDescent="0.35">
      <c r="A6" s="116"/>
      <c r="B6" s="49" t="s">
        <v>454</v>
      </c>
      <c r="C6" s="60" t="s">
        <v>455</v>
      </c>
    </row>
    <row r="7" spans="1:3" x14ac:dyDescent="0.35">
      <c r="A7" t="s">
        <v>449</v>
      </c>
      <c r="B7" s="85" t="s">
        <v>459</v>
      </c>
    </row>
    <row r="8" spans="1:3" x14ac:dyDescent="0.35">
      <c r="A8" t="s">
        <v>456</v>
      </c>
    </row>
  </sheetData>
  <mergeCells count="1">
    <mergeCell ref="A4:A6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Executive Summary</vt:lpstr>
      <vt:lpstr>cashflow_report</vt:lpstr>
      <vt:lpstr>Portfolio Performance</vt:lpstr>
      <vt:lpstr>Liquidity &amp; OC</vt:lpstr>
      <vt:lpstr>Replenishment</vt:lpstr>
      <vt:lpstr>Warehouse</vt:lpstr>
      <vt:lpstr>Risk Covenants</vt:lpstr>
      <vt:lpstr>Daily Metrics</vt:lpstr>
      <vt:lpstr>Scenario Comparison</vt:lpstr>
      <vt:lpstr>FV Discount Rates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陈 旭新</cp:lastModifiedBy>
  <cp:revision>2</cp:revision>
  <dcterms:created xsi:type="dcterms:W3CDTF">2026-05-05T16:30:40Z</dcterms:created>
  <dcterms:modified xsi:type="dcterms:W3CDTF">2026-05-24T13:45:23Z</dcterms:modified>
  <dc:language>en-US</dc:language>
</cp:coreProperties>
</file>